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2"/>
  </bookViews>
  <sheets>
    <sheet name="Diesel" sheetId="1" r:id="rId1"/>
    <sheet name="MS-74" sheetId="2" r:id="rId2"/>
    <sheet name="100 Octane" sheetId="3" r:id="rId3"/>
  </sheets>
  <definedNames>
    <definedName name="_xlnm.Print_Area" localSheetId="2">'100 Octane'!$A$1:$M$22</definedName>
    <definedName name="_xlnm.Print_Area" localSheetId="0">Diesel!$A$1:$M$22</definedName>
    <definedName name="_xlnm.Print_Area" localSheetId="1">'MS-74'!$A$1:$M$22</definedName>
  </definedNames>
  <calcPr calcId="152511"/>
</workbook>
</file>

<file path=xl/calcChain.xml><?xml version="1.0" encoding="utf-8"?>
<calcChain xmlns="http://schemas.openxmlformats.org/spreadsheetml/2006/main">
  <c r="C23" i="3" l="1"/>
  <c r="D23" i="3"/>
  <c r="E23" i="3"/>
  <c r="F23" i="3"/>
  <c r="G23" i="3"/>
  <c r="H23" i="3"/>
  <c r="I23" i="3"/>
  <c r="J23" i="3"/>
  <c r="B23" i="3"/>
  <c r="C23" i="2"/>
  <c r="D23" i="2"/>
  <c r="E23" i="2"/>
  <c r="F23" i="2"/>
  <c r="G23" i="2"/>
  <c r="H23" i="2"/>
  <c r="I23" i="2"/>
  <c r="J23" i="2"/>
  <c r="B23" i="2"/>
  <c r="C23" i="1"/>
  <c r="D23" i="1"/>
  <c r="E23" i="1"/>
  <c r="F23" i="1"/>
  <c r="G23" i="1"/>
  <c r="H23" i="1"/>
  <c r="I23" i="1"/>
  <c r="J23" i="1"/>
  <c r="B23" i="1"/>
</calcChain>
</file>

<file path=xl/sharedStrings.xml><?xml version="1.0" encoding="utf-8"?>
<sst xmlns="http://schemas.openxmlformats.org/spreadsheetml/2006/main" count="102" uniqueCount="36">
  <si>
    <t>Bde/Unit Name</t>
  </si>
  <si>
    <t>Jan</t>
  </si>
  <si>
    <t>Feb</t>
  </si>
  <si>
    <t>Jul</t>
  </si>
  <si>
    <t>Aug</t>
  </si>
  <si>
    <t>Sep</t>
  </si>
  <si>
    <t>Oct</t>
  </si>
  <si>
    <t>Nov</t>
  </si>
  <si>
    <t>Dec</t>
  </si>
  <si>
    <t>Mar</t>
  </si>
  <si>
    <t>Apr</t>
  </si>
  <si>
    <t>May</t>
  </si>
  <si>
    <t>Jun</t>
  </si>
  <si>
    <t>HQ 55 Arty Bde</t>
  </si>
  <si>
    <t>HQ 21 Inf Bde</t>
  </si>
  <si>
    <t>HQ 88 Inf Bde</t>
  </si>
  <si>
    <t>HQ 105 Inf Bde</t>
  </si>
  <si>
    <t>9 Bengal Lancers</t>
  </si>
  <si>
    <t>3 Engr Bn</t>
  </si>
  <si>
    <t>2 Sig Bn</t>
  </si>
  <si>
    <t>31 ST Bn</t>
  </si>
  <si>
    <t>41 Fd Amb</t>
  </si>
  <si>
    <t>71 Fd Amb</t>
  </si>
  <si>
    <t>505 DOC</t>
  </si>
  <si>
    <t>117 Fd Wksp Coy EME</t>
  </si>
  <si>
    <t>119 Fd Wksp Coy EME</t>
  </si>
  <si>
    <t>145 Fd Wksp Coy EME</t>
  </si>
  <si>
    <t>55 MP Unit</t>
  </si>
  <si>
    <t>55 FIU</t>
  </si>
  <si>
    <t>HQ Coy 55 Inf Div</t>
  </si>
  <si>
    <t xml:space="preserve">Total </t>
  </si>
  <si>
    <t>19 E Bengal (Div Sp Bn)</t>
  </si>
  <si>
    <t>Total Alt Bde/Unit</t>
  </si>
  <si>
    <t xml:space="preserve">Diesel Alt For FY-2025-26 </t>
  </si>
  <si>
    <t xml:space="preserve">MS-74 Alt For FY-2025-26 </t>
  </si>
  <si>
    <t xml:space="preserve">100 Octane Alt For FY-2025-26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</si>
</sst>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1"/>
      <color theme="1"/>
      <name val="Arial"/>
      <family val="2"/>
    </font>
    <font>
      <sz val="11"/>
      <name val="Arial"/>
      <family val="2"/>
    </font>
    <font>
      <b/>
      <sz val="13"/>
      <color theme="1"/>
      <name val="Arial"/>
      <family val="2"/>
    </font>
    <font>
      <b/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/>
    <xf numFmtId="0" fontId="1" fillId="0" borderId="0" xfId="0" applyFont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5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wrapText="1"/>
    </xf>
    <xf numFmtId="0" fontId="2" fillId="3" borderId="0" xfId="0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right" vertical="top" wrapText="1"/>
    </xf>
    <xf numFmtId="164" fontId="4" fillId="4" borderId="0" xfId="0" applyNumberFormat="1" applyFont="1" applyFill="1" applyBorder="1" applyAlignment="1">
      <alignment horizontal="right" vertical="top" wrapText="1"/>
    </xf>
    <xf numFmtId="164" fontId="6" fillId="4" borderId="1" xfId="0" applyNumberFormat="1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"/>
  <sheetViews>
    <sheetView topLeftCell="A4" zoomScale="85" zoomScaleNormal="85" workbookViewId="0">
      <selection activeCell="J23" sqref="J23"/>
    </sheetView>
  </sheetViews>
  <sheetFormatPr defaultRowHeight="17.25" x14ac:dyDescent="0.3"/>
  <cols>
    <col min="1" max="1" width="25.85546875" style="2" customWidth="1"/>
    <col min="2" max="4" width="14" style="2" customWidth="1"/>
    <col min="5" max="5" width="13.85546875" style="2" customWidth="1"/>
    <col min="6" max="6" width="14.42578125" style="2" customWidth="1"/>
    <col min="7" max="7" width="14.28515625" style="2" customWidth="1"/>
    <col min="8" max="8" width="14" style="2" customWidth="1"/>
    <col min="9" max="9" width="14.140625" style="2" customWidth="1"/>
    <col min="10" max="10" width="13.7109375" style="2" customWidth="1"/>
    <col min="11" max="11" width="14.42578125" style="2" customWidth="1"/>
    <col min="12" max="12" width="14.28515625" style="2" customWidth="1"/>
    <col min="13" max="13" width="13.5703125" style="2" customWidth="1"/>
    <col min="14" max="14" width="21.85546875" style="2" customWidth="1"/>
    <col min="15" max="16384" width="9.140625" style="2"/>
  </cols>
  <sheetData>
    <row r="1" spans="1:1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4" ht="23.25" x14ac:dyDescent="0.3">
      <c r="A2" s="1"/>
      <c r="B2" s="7" t="s">
        <v>33</v>
      </c>
      <c r="C2" s="7"/>
      <c r="D2" s="7"/>
      <c r="E2" s="7"/>
      <c r="F2" s="7"/>
      <c r="G2" s="7"/>
      <c r="H2" s="7"/>
      <c r="I2" s="7"/>
      <c r="J2" s="7"/>
      <c r="K2" s="7"/>
    </row>
    <row r="3" spans="1:14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4" x14ac:dyDescent="0.3">
      <c r="A4" s="3" t="s">
        <v>0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1</v>
      </c>
      <c r="I4" s="3" t="s">
        <v>2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32</v>
      </c>
    </row>
    <row r="5" spans="1:14" x14ac:dyDescent="0.3">
      <c r="A5" s="4" t="s">
        <v>13</v>
      </c>
      <c r="B5" s="8">
        <v>26743</v>
      </c>
      <c r="C5" s="8">
        <v>9500</v>
      </c>
      <c r="D5" s="8">
        <v>20500</v>
      </c>
      <c r="E5" s="8">
        <v>14500</v>
      </c>
      <c r="F5" s="8">
        <v>7000</v>
      </c>
      <c r="G5" s="8">
        <v>14000</v>
      </c>
      <c r="H5" s="8">
        <v>24000</v>
      </c>
      <c r="I5" s="8">
        <v>25000</v>
      </c>
      <c r="J5" s="8">
        <v>33200</v>
      </c>
      <c r="K5" s="8"/>
      <c r="L5" s="8"/>
      <c r="M5" s="8"/>
      <c r="N5" s="8"/>
    </row>
    <row r="6" spans="1:14" x14ac:dyDescent="0.3">
      <c r="A6" s="4" t="s">
        <v>14</v>
      </c>
      <c r="B6" s="8">
        <v>11470</v>
      </c>
      <c r="C6" s="8">
        <v>9500</v>
      </c>
      <c r="D6" s="8">
        <v>11500</v>
      </c>
      <c r="E6" s="8">
        <v>13000</v>
      </c>
      <c r="F6" s="8">
        <v>7000</v>
      </c>
      <c r="G6" s="8">
        <v>7500</v>
      </c>
      <c r="H6" s="8">
        <v>17500</v>
      </c>
      <c r="I6" s="8">
        <v>14000</v>
      </c>
      <c r="J6" s="8">
        <v>15000</v>
      </c>
      <c r="K6" s="8"/>
      <c r="L6" s="8"/>
      <c r="M6" s="8"/>
      <c r="N6" s="8"/>
    </row>
    <row r="7" spans="1:14" x14ac:dyDescent="0.3">
      <c r="A7" s="4" t="s">
        <v>15</v>
      </c>
      <c r="B7" s="8">
        <v>11448</v>
      </c>
      <c r="C7" s="8">
        <v>9000</v>
      </c>
      <c r="D7" s="8">
        <v>11500</v>
      </c>
      <c r="E7" s="8">
        <v>6000</v>
      </c>
      <c r="F7" s="8">
        <v>8500</v>
      </c>
      <c r="G7" s="8">
        <v>12500</v>
      </c>
      <c r="H7" s="8">
        <v>21000</v>
      </c>
      <c r="I7" s="8">
        <v>14000</v>
      </c>
      <c r="J7" s="8">
        <v>15000</v>
      </c>
      <c r="K7" s="8"/>
      <c r="L7" s="8"/>
      <c r="M7" s="8"/>
      <c r="N7" s="8"/>
    </row>
    <row r="8" spans="1:14" x14ac:dyDescent="0.3">
      <c r="A8" s="4" t="s">
        <v>16</v>
      </c>
      <c r="B8" s="8">
        <v>15307</v>
      </c>
      <c r="C8" s="8">
        <v>17000</v>
      </c>
      <c r="D8" s="8">
        <v>13000</v>
      </c>
      <c r="E8" s="8">
        <v>14000</v>
      </c>
      <c r="F8" s="8">
        <v>6500</v>
      </c>
      <c r="G8" s="8">
        <v>14500</v>
      </c>
      <c r="H8" s="8">
        <v>24000</v>
      </c>
      <c r="I8" s="8">
        <v>21000</v>
      </c>
      <c r="J8" s="8">
        <v>25000</v>
      </c>
      <c r="K8" s="8"/>
      <c r="L8" s="8"/>
      <c r="M8" s="8"/>
      <c r="N8" s="8"/>
    </row>
    <row r="9" spans="1:14" x14ac:dyDescent="0.3">
      <c r="A9" s="4" t="s">
        <v>17</v>
      </c>
      <c r="B9" s="8">
        <v>8299</v>
      </c>
      <c r="C9" s="8">
        <v>1500</v>
      </c>
      <c r="D9" s="8">
        <v>4000</v>
      </c>
      <c r="E9" s="8">
        <v>3000</v>
      </c>
      <c r="F9" s="8">
        <v>4500</v>
      </c>
      <c r="G9" s="8">
        <v>4000</v>
      </c>
      <c r="H9" s="8">
        <v>10000</v>
      </c>
      <c r="I9" s="8">
        <v>4000</v>
      </c>
      <c r="J9" s="8">
        <v>18000</v>
      </c>
      <c r="K9" s="8"/>
      <c r="L9" s="8"/>
      <c r="M9" s="8"/>
      <c r="N9" s="8"/>
    </row>
    <row r="10" spans="1:14" x14ac:dyDescent="0.3">
      <c r="A10" s="4" t="s">
        <v>18</v>
      </c>
      <c r="B10" s="8">
        <v>14500</v>
      </c>
      <c r="C10" s="8">
        <v>7000</v>
      </c>
      <c r="D10" s="8">
        <v>9000</v>
      </c>
      <c r="E10" s="8">
        <v>15000</v>
      </c>
      <c r="F10" s="8">
        <v>11000</v>
      </c>
      <c r="G10" s="8">
        <v>10000</v>
      </c>
      <c r="H10" s="8">
        <v>24000</v>
      </c>
      <c r="I10" s="8">
        <v>18000</v>
      </c>
      <c r="J10" s="8">
        <v>10000</v>
      </c>
      <c r="K10" s="8"/>
      <c r="L10" s="8"/>
      <c r="M10" s="8"/>
      <c r="N10" s="8"/>
    </row>
    <row r="11" spans="1:14" x14ac:dyDescent="0.3">
      <c r="A11" s="4" t="s">
        <v>19</v>
      </c>
      <c r="B11" s="8">
        <v>8483</v>
      </c>
      <c r="C11" s="8">
        <v>7500</v>
      </c>
      <c r="D11" s="8">
        <v>6000</v>
      </c>
      <c r="E11" s="8">
        <v>5000</v>
      </c>
      <c r="F11" s="8">
        <v>9000</v>
      </c>
      <c r="G11" s="8">
        <v>6000</v>
      </c>
      <c r="H11" s="8">
        <v>13000</v>
      </c>
      <c r="I11" s="8">
        <v>5000</v>
      </c>
      <c r="J11" s="8">
        <v>16000</v>
      </c>
      <c r="K11" s="8"/>
      <c r="L11" s="8"/>
      <c r="M11" s="8"/>
      <c r="N11" s="8"/>
    </row>
    <row r="12" spans="1:14" x14ac:dyDescent="0.3">
      <c r="A12" s="6" t="s">
        <v>31</v>
      </c>
      <c r="B12" s="8">
        <v>16482</v>
      </c>
      <c r="C12" s="8">
        <v>7000</v>
      </c>
      <c r="D12" s="8">
        <v>11500</v>
      </c>
      <c r="E12" s="8">
        <v>11000</v>
      </c>
      <c r="F12" s="8">
        <v>12500</v>
      </c>
      <c r="G12" s="8">
        <v>12500</v>
      </c>
      <c r="H12" s="8">
        <v>18000</v>
      </c>
      <c r="I12" s="8">
        <v>12500</v>
      </c>
      <c r="J12" s="8">
        <v>10000</v>
      </c>
      <c r="K12" s="8"/>
      <c r="L12" s="8"/>
      <c r="M12" s="8"/>
      <c r="N12" s="8"/>
    </row>
    <row r="13" spans="1:14" x14ac:dyDescent="0.3">
      <c r="A13" s="4" t="s">
        <v>20</v>
      </c>
      <c r="B13" s="8">
        <v>11666</v>
      </c>
      <c r="C13" s="8">
        <v>4500</v>
      </c>
      <c r="D13" s="8">
        <v>4500</v>
      </c>
      <c r="E13" s="8">
        <v>5200</v>
      </c>
      <c r="F13" s="8">
        <v>6000</v>
      </c>
      <c r="G13" s="8">
        <v>6000</v>
      </c>
      <c r="H13" s="8">
        <v>12500</v>
      </c>
      <c r="I13" s="8">
        <v>3500</v>
      </c>
      <c r="J13" s="8">
        <v>10000</v>
      </c>
      <c r="K13" s="8"/>
      <c r="L13" s="8"/>
      <c r="M13" s="8"/>
      <c r="N13" s="8"/>
    </row>
    <row r="14" spans="1:14" x14ac:dyDescent="0.3">
      <c r="A14" s="4" t="s">
        <v>21</v>
      </c>
      <c r="B14" s="8">
        <v>2024</v>
      </c>
      <c r="C14" s="8">
        <v>1550</v>
      </c>
      <c r="D14" s="8">
        <v>1000</v>
      </c>
      <c r="E14" s="8">
        <v>2000</v>
      </c>
      <c r="F14" s="8">
        <v>1000</v>
      </c>
      <c r="G14" s="8">
        <v>2000</v>
      </c>
      <c r="H14" s="8">
        <v>2000</v>
      </c>
      <c r="I14" s="8">
        <v>1000</v>
      </c>
      <c r="J14" s="8">
        <v>2000</v>
      </c>
      <c r="K14" s="8"/>
      <c r="L14" s="8"/>
      <c r="M14" s="8"/>
      <c r="N14" s="8"/>
    </row>
    <row r="15" spans="1:14" x14ac:dyDescent="0.3">
      <c r="A15" s="4" t="s">
        <v>22</v>
      </c>
      <c r="B15" s="8">
        <v>2450</v>
      </c>
      <c r="C15" s="8">
        <v>800</v>
      </c>
      <c r="D15" s="8">
        <v>1500</v>
      </c>
      <c r="E15" s="8">
        <v>1000</v>
      </c>
      <c r="F15" s="8">
        <v>1000</v>
      </c>
      <c r="G15" s="8">
        <v>750</v>
      </c>
      <c r="H15" s="8">
        <v>2000</v>
      </c>
      <c r="I15" s="8">
        <v>1000</v>
      </c>
      <c r="J15" s="8">
        <v>2000</v>
      </c>
      <c r="K15" s="8"/>
      <c r="L15" s="8"/>
      <c r="M15" s="8"/>
      <c r="N15" s="8"/>
    </row>
    <row r="16" spans="1:14" x14ac:dyDescent="0.3">
      <c r="A16" s="4" t="s">
        <v>23</v>
      </c>
      <c r="B16" s="8">
        <v>2924</v>
      </c>
      <c r="C16" s="8">
        <v>500</v>
      </c>
      <c r="D16" s="8">
        <v>0</v>
      </c>
      <c r="E16" s="8">
        <v>1000</v>
      </c>
      <c r="F16" s="8">
        <v>0</v>
      </c>
      <c r="G16" s="8">
        <v>1200</v>
      </c>
      <c r="H16" s="8">
        <v>3000</v>
      </c>
      <c r="I16" s="8">
        <v>500</v>
      </c>
      <c r="J16" s="8">
        <v>2000</v>
      </c>
      <c r="K16" s="8"/>
      <c r="L16" s="8"/>
      <c r="M16" s="8"/>
      <c r="N16" s="8"/>
    </row>
    <row r="17" spans="1:14" x14ac:dyDescent="0.3">
      <c r="A17" s="4" t="s">
        <v>24</v>
      </c>
      <c r="B17" s="8">
        <v>2296</v>
      </c>
      <c r="C17" s="8">
        <v>500</v>
      </c>
      <c r="D17" s="8">
        <v>1000</v>
      </c>
      <c r="E17" s="8">
        <v>0</v>
      </c>
      <c r="F17" s="8">
        <v>1000</v>
      </c>
      <c r="G17" s="8">
        <v>1000</v>
      </c>
      <c r="H17" s="8">
        <v>2000</v>
      </c>
      <c r="I17" s="8">
        <v>700</v>
      </c>
      <c r="J17" s="8">
        <v>2000</v>
      </c>
      <c r="K17" s="8"/>
      <c r="L17" s="8"/>
      <c r="M17" s="8"/>
      <c r="N17" s="8"/>
    </row>
    <row r="18" spans="1:14" x14ac:dyDescent="0.3">
      <c r="A18" s="4" t="s">
        <v>25</v>
      </c>
      <c r="B18" s="8">
        <v>2275</v>
      </c>
      <c r="C18" s="8">
        <v>500</v>
      </c>
      <c r="D18" s="8">
        <v>1000</v>
      </c>
      <c r="E18" s="8">
        <v>0</v>
      </c>
      <c r="F18" s="8">
        <v>1200</v>
      </c>
      <c r="G18" s="8">
        <v>1000</v>
      </c>
      <c r="H18" s="8">
        <v>2000</v>
      </c>
      <c r="I18" s="8">
        <v>700</v>
      </c>
      <c r="J18" s="8">
        <v>3000</v>
      </c>
      <c r="K18" s="8"/>
      <c r="L18" s="8"/>
      <c r="M18" s="8"/>
      <c r="N18" s="8"/>
    </row>
    <row r="19" spans="1:14" x14ac:dyDescent="0.3">
      <c r="A19" s="4" t="s">
        <v>26</v>
      </c>
      <c r="B19" s="8">
        <v>2230</v>
      </c>
      <c r="C19" s="8">
        <v>500</v>
      </c>
      <c r="D19" s="8">
        <v>1000</v>
      </c>
      <c r="E19" s="8">
        <v>1500</v>
      </c>
      <c r="F19" s="8">
        <v>0</v>
      </c>
      <c r="G19" s="8">
        <v>0</v>
      </c>
      <c r="H19" s="8">
        <v>1000</v>
      </c>
      <c r="I19" s="8">
        <v>700</v>
      </c>
      <c r="J19" s="8">
        <v>2000</v>
      </c>
      <c r="K19" s="8"/>
      <c r="L19" s="8"/>
      <c r="M19" s="8"/>
      <c r="N19" s="8"/>
    </row>
    <row r="20" spans="1:14" x14ac:dyDescent="0.3">
      <c r="A20" s="4" t="s">
        <v>27</v>
      </c>
      <c r="B20" s="8">
        <v>3366</v>
      </c>
      <c r="C20" s="8">
        <v>1500</v>
      </c>
      <c r="D20" s="8">
        <v>3500</v>
      </c>
      <c r="E20" s="8">
        <v>2000</v>
      </c>
      <c r="F20" s="8">
        <v>3000</v>
      </c>
      <c r="G20" s="8">
        <v>2000</v>
      </c>
      <c r="H20" s="8">
        <v>3500</v>
      </c>
      <c r="I20" s="8">
        <v>2000</v>
      </c>
      <c r="J20" s="8">
        <v>4000</v>
      </c>
      <c r="K20" s="8"/>
      <c r="L20" s="8"/>
      <c r="M20" s="8"/>
      <c r="N20" s="8"/>
    </row>
    <row r="21" spans="1:14" x14ac:dyDescent="0.3">
      <c r="A21" s="4" t="s">
        <v>28</v>
      </c>
      <c r="B21" s="8">
        <v>2917</v>
      </c>
      <c r="C21" s="8">
        <v>500</v>
      </c>
      <c r="D21" s="8">
        <v>1000</v>
      </c>
      <c r="E21" s="8">
        <v>1000</v>
      </c>
      <c r="F21" s="8">
        <v>0</v>
      </c>
      <c r="G21" s="8">
        <v>0</v>
      </c>
      <c r="H21" s="8">
        <v>1250</v>
      </c>
      <c r="I21" s="8">
        <v>500</v>
      </c>
      <c r="J21" s="8">
        <v>3000</v>
      </c>
      <c r="K21" s="8"/>
      <c r="L21" s="8"/>
      <c r="M21" s="8"/>
      <c r="N21" s="8"/>
    </row>
    <row r="22" spans="1:14" x14ac:dyDescent="0.3">
      <c r="A22" s="4" t="s">
        <v>29</v>
      </c>
      <c r="B22" s="8">
        <v>3414</v>
      </c>
      <c r="C22" s="8">
        <v>1000</v>
      </c>
      <c r="D22" s="8">
        <v>3000</v>
      </c>
      <c r="E22" s="8">
        <v>0</v>
      </c>
      <c r="F22" s="8">
        <v>3500</v>
      </c>
      <c r="G22" s="8">
        <v>1500</v>
      </c>
      <c r="H22" s="8">
        <v>2000</v>
      </c>
      <c r="I22" s="8">
        <v>3000</v>
      </c>
      <c r="J22" s="8">
        <v>4000</v>
      </c>
      <c r="K22" s="8"/>
      <c r="L22" s="8"/>
      <c r="M22" s="8"/>
      <c r="N22" s="8"/>
    </row>
    <row r="23" spans="1:14" x14ac:dyDescent="0.3">
      <c r="A23" s="5" t="s">
        <v>30</v>
      </c>
      <c r="B23" s="10">
        <f>SUM(B5:B22)</f>
        <v>148294</v>
      </c>
      <c r="C23" s="10">
        <f t="shared" ref="C23:M23" si="0">SUM(C5:C22)</f>
        <v>79850</v>
      </c>
      <c r="D23" s="10">
        <f t="shared" si="0"/>
        <v>104500</v>
      </c>
      <c r="E23" s="10">
        <f t="shared" si="0"/>
        <v>95200</v>
      </c>
      <c r="F23" s="10">
        <f t="shared" si="0"/>
        <v>82700</v>
      </c>
      <c r="G23" s="10">
        <f t="shared" si="0"/>
        <v>96450</v>
      </c>
      <c r="H23" s="10">
        <f t="shared" si="0"/>
        <v>182750</v>
      </c>
      <c r="I23" s="10">
        <f t="shared" si="0"/>
        <v>127100</v>
      </c>
      <c r="J23" s="10">
        <f t="shared" si="0"/>
        <v>176200</v>
      </c>
      <c r="K23" s="8"/>
      <c r="L23" s="8"/>
      <c r="M23" s="8"/>
      <c r="N23" s="8"/>
    </row>
    <row r="24" spans="1:14" x14ac:dyDescent="0.3">
      <c r="A24" s="1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</row>
  </sheetData>
  <mergeCells count="1">
    <mergeCell ref="B2:K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"/>
  <sheetViews>
    <sheetView zoomScale="70" zoomScaleNormal="70" workbookViewId="0">
      <selection activeCell="B23" sqref="B23:J23"/>
    </sheetView>
  </sheetViews>
  <sheetFormatPr defaultRowHeight="17.25" x14ac:dyDescent="0.3"/>
  <cols>
    <col min="1" max="1" width="25.85546875" style="2" customWidth="1"/>
    <col min="2" max="4" width="14" style="2" customWidth="1"/>
    <col min="5" max="5" width="13.85546875" style="2" customWidth="1"/>
    <col min="6" max="6" width="14.42578125" style="2" customWidth="1"/>
    <col min="7" max="7" width="14.28515625" style="2" customWidth="1"/>
    <col min="8" max="8" width="14" style="2" customWidth="1"/>
    <col min="9" max="9" width="14.140625" style="2" customWidth="1"/>
    <col min="10" max="10" width="13.7109375" style="2" customWidth="1"/>
    <col min="11" max="11" width="14.42578125" style="2" customWidth="1"/>
    <col min="12" max="12" width="14.28515625" style="2" customWidth="1"/>
    <col min="13" max="13" width="13.5703125" style="2" customWidth="1"/>
    <col min="14" max="14" width="19.28515625" style="2" customWidth="1"/>
    <col min="15" max="16384" width="9.140625" style="2"/>
  </cols>
  <sheetData>
    <row r="1" spans="1:1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4" ht="23.25" x14ac:dyDescent="0.3">
      <c r="A2" s="1"/>
      <c r="B2" s="7" t="s">
        <v>34</v>
      </c>
      <c r="C2" s="7"/>
      <c r="D2" s="7"/>
      <c r="E2" s="7"/>
      <c r="F2" s="7"/>
      <c r="G2" s="7"/>
      <c r="H2" s="7"/>
      <c r="I2" s="7"/>
      <c r="J2" s="7"/>
      <c r="K2" s="7"/>
    </row>
    <row r="3" spans="1:14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4" x14ac:dyDescent="0.3">
      <c r="A4" s="3" t="s">
        <v>0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1</v>
      </c>
      <c r="I4" s="3" t="s">
        <v>2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32</v>
      </c>
    </row>
    <row r="5" spans="1:14" x14ac:dyDescent="0.3">
      <c r="A5" s="4" t="s">
        <v>13</v>
      </c>
      <c r="B5" s="8">
        <v>284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/>
      <c r="L5" s="8"/>
      <c r="M5" s="8"/>
      <c r="N5" s="8"/>
    </row>
    <row r="6" spans="1:14" x14ac:dyDescent="0.3">
      <c r="A6" s="4" t="s">
        <v>14</v>
      </c>
      <c r="B6" s="8">
        <v>219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/>
      <c r="L6" s="8"/>
      <c r="M6" s="8"/>
      <c r="N6" s="8"/>
    </row>
    <row r="7" spans="1:14" x14ac:dyDescent="0.3">
      <c r="A7" s="4" t="s">
        <v>15</v>
      </c>
      <c r="B7" s="8">
        <v>321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/>
      <c r="L7" s="8"/>
      <c r="M7" s="8"/>
      <c r="N7" s="8"/>
    </row>
    <row r="8" spans="1:14" x14ac:dyDescent="0.3">
      <c r="A8" s="4" t="s">
        <v>16</v>
      </c>
      <c r="B8" s="8">
        <v>465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/>
      <c r="L8" s="8"/>
      <c r="M8" s="8"/>
      <c r="N8" s="8"/>
    </row>
    <row r="9" spans="1:14" x14ac:dyDescent="0.3">
      <c r="A9" s="4" t="s">
        <v>17</v>
      </c>
      <c r="B9" s="8">
        <v>0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/>
      <c r="L9" s="8"/>
      <c r="M9" s="8"/>
      <c r="N9" s="8"/>
    </row>
    <row r="10" spans="1:14" x14ac:dyDescent="0.3">
      <c r="A10" s="4" t="s">
        <v>18</v>
      </c>
      <c r="B10" s="8">
        <v>185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/>
      <c r="L10" s="8"/>
      <c r="M10" s="8"/>
      <c r="N10" s="8"/>
    </row>
    <row r="11" spans="1:14" x14ac:dyDescent="0.3">
      <c r="A11" s="4" t="s">
        <v>19</v>
      </c>
      <c r="B11" s="8">
        <v>138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/>
      <c r="L11" s="8"/>
      <c r="M11" s="8"/>
      <c r="N11" s="8"/>
    </row>
    <row r="12" spans="1:14" x14ac:dyDescent="0.3">
      <c r="A12" s="6" t="s">
        <v>31</v>
      </c>
      <c r="B12" s="8">
        <v>106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/>
      <c r="L12" s="8"/>
      <c r="M12" s="8"/>
      <c r="N12" s="8"/>
    </row>
    <row r="13" spans="1:14" x14ac:dyDescent="0.3">
      <c r="A13" s="4" t="s">
        <v>20</v>
      </c>
      <c r="B13" s="8">
        <v>125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/>
      <c r="L13" s="8"/>
      <c r="M13" s="8"/>
      <c r="N13" s="8"/>
    </row>
    <row r="14" spans="1:14" x14ac:dyDescent="0.3">
      <c r="A14" s="4" t="s">
        <v>21</v>
      </c>
      <c r="B14" s="8">
        <v>0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/>
      <c r="L14" s="8"/>
      <c r="M14" s="8"/>
      <c r="N14" s="8"/>
    </row>
    <row r="15" spans="1:14" x14ac:dyDescent="0.3">
      <c r="A15" s="4" t="s">
        <v>22</v>
      </c>
      <c r="B15" s="8">
        <v>0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/>
      <c r="L15" s="8"/>
      <c r="M15" s="8"/>
      <c r="N15" s="8"/>
    </row>
    <row r="16" spans="1:14" x14ac:dyDescent="0.3">
      <c r="A16" s="4" t="s">
        <v>23</v>
      </c>
      <c r="B16" s="8">
        <v>136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/>
      <c r="L16" s="8"/>
      <c r="M16" s="8"/>
      <c r="N16" s="8"/>
    </row>
    <row r="17" spans="1:14" x14ac:dyDescent="0.3">
      <c r="A17" s="4" t="s">
        <v>24</v>
      </c>
      <c r="B17" s="8">
        <v>10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/>
      <c r="L17" s="8"/>
      <c r="M17" s="8"/>
      <c r="N17" s="8"/>
    </row>
    <row r="18" spans="1:14" x14ac:dyDescent="0.3">
      <c r="A18" s="4" t="s">
        <v>25</v>
      </c>
      <c r="B18" s="8">
        <v>89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/>
      <c r="L18" s="8"/>
      <c r="M18" s="8"/>
      <c r="N18" s="8"/>
    </row>
    <row r="19" spans="1:14" x14ac:dyDescent="0.3">
      <c r="A19" s="4" t="s">
        <v>26</v>
      </c>
      <c r="B19" s="8">
        <v>0</v>
      </c>
      <c r="C19" s="8">
        <v>100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/>
      <c r="L19" s="8"/>
      <c r="M19" s="8"/>
      <c r="N19" s="8"/>
    </row>
    <row r="20" spans="1:14" x14ac:dyDescent="0.3">
      <c r="A20" s="4" t="s">
        <v>27</v>
      </c>
      <c r="B20" s="8">
        <v>233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/>
      <c r="L20" s="8"/>
      <c r="M20" s="8"/>
      <c r="N20" s="8"/>
    </row>
    <row r="21" spans="1:14" x14ac:dyDescent="0.3">
      <c r="A21" s="4" t="s">
        <v>28</v>
      </c>
      <c r="B21" s="8">
        <v>203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/>
      <c r="L21" s="8"/>
      <c r="M21" s="8"/>
      <c r="N21" s="8"/>
    </row>
    <row r="22" spans="1:14" x14ac:dyDescent="0.3">
      <c r="A22" s="4" t="s">
        <v>29</v>
      </c>
      <c r="B22" s="8">
        <v>74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/>
      <c r="L22" s="8"/>
      <c r="M22" s="8"/>
      <c r="N22" s="8"/>
    </row>
    <row r="23" spans="1:14" x14ac:dyDescent="0.3">
      <c r="A23" s="5" t="s">
        <v>30</v>
      </c>
      <c r="B23" s="8">
        <f>SUM(B5:B22)</f>
        <v>2588</v>
      </c>
      <c r="C23" s="8">
        <f t="shared" ref="C23:J23" si="0">SUM(C5:C22)</f>
        <v>100</v>
      </c>
      <c r="D23" s="8">
        <f t="shared" si="0"/>
        <v>0</v>
      </c>
      <c r="E23" s="8">
        <f t="shared" si="0"/>
        <v>0</v>
      </c>
      <c r="F23" s="8">
        <f t="shared" si="0"/>
        <v>0</v>
      </c>
      <c r="G23" s="8">
        <f t="shared" si="0"/>
        <v>0</v>
      </c>
      <c r="H23" s="8">
        <f t="shared" si="0"/>
        <v>0</v>
      </c>
      <c r="I23" s="8">
        <f t="shared" si="0"/>
        <v>0</v>
      </c>
      <c r="J23" s="8">
        <f t="shared" si="0"/>
        <v>0</v>
      </c>
      <c r="K23" s="8"/>
      <c r="L23" s="8"/>
      <c r="M23" s="8"/>
      <c r="N23" s="8"/>
    </row>
  </sheetData>
  <mergeCells count="1">
    <mergeCell ref="B2:K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"/>
  <sheetViews>
    <sheetView tabSelected="1" zoomScale="70" zoomScaleNormal="70" workbookViewId="0">
      <selection activeCell="B23" sqref="B23:J23"/>
    </sheetView>
  </sheetViews>
  <sheetFormatPr defaultRowHeight="17.25" x14ac:dyDescent="0.3"/>
  <cols>
    <col min="1" max="1" width="25.85546875" style="2" customWidth="1"/>
    <col min="2" max="4" width="14" style="2" customWidth="1"/>
    <col min="5" max="5" width="13.85546875" style="2" customWidth="1"/>
    <col min="6" max="6" width="14.42578125" style="2" customWidth="1"/>
    <col min="7" max="7" width="14.28515625" style="2" customWidth="1"/>
    <col min="8" max="8" width="14" style="2" customWidth="1"/>
    <col min="9" max="9" width="14.140625" style="2" customWidth="1"/>
    <col min="10" max="10" width="13.7109375" style="2" customWidth="1"/>
    <col min="11" max="11" width="14.42578125" style="2" customWidth="1"/>
    <col min="12" max="12" width="14.28515625" style="2" customWidth="1"/>
    <col min="13" max="13" width="13.5703125" style="2" customWidth="1"/>
    <col min="14" max="14" width="18" style="2" customWidth="1"/>
    <col min="15" max="16384" width="9.140625" style="2"/>
  </cols>
  <sheetData>
    <row r="1" spans="1:1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4" ht="23.25" x14ac:dyDescent="0.3">
      <c r="A2" s="1"/>
      <c r="B2" s="7" t="s">
        <v>35</v>
      </c>
      <c r="C2" s="7"/>
      <c r="D2" s="7"/>
      <c r="E2" s="7"/>
      <c r="F2" s="7"/>
      <c r="G2" s="7"/>
      <c r="H2" s="7"/>
      <c r="I2" s="7"/>
      <c r="J2" s="7"/>
      <c r="K2" s="7"/>
    </row>
    <row r="3" spans="1:14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4" x14ac:dyDescent="0.3">
      <c r="A4" s="3" t="s">
        <v>0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1</v>
      </c>
      <c r="I4" s="3" t="s">
        <v>2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32</v>
      </c>
    </row>
    <row r="5" spans="1:14" x14ac:dyDescent="0.3">
      <c r="A5" s="4" t="s">
        <v>13</v>
      </c>
      <c r="B5" s="8">
        <v>1012</v>
      </c>
      <c r="C5" s="8">
        <v>0</v>
      </c>
      <c r="D5" s="8">
        <v>0</v>
      </c>
      <c r="E5" s="8">
        <v>180</v>
      </c>
      <c r="F5" s="8">
        <v>0</v>
      </c>
      <c r="G5" s="8">
        <v>0</v>
      </c>
      <c r="H5" s="8">
        <v>0</v>
      </c>
      <c r="I5" s="8">
        <v>300</v>
      </c>
      <c r="J5" s="8">
        <v>0</v>
      </c>
      <c r="K5" s="8"/>
      <c r="L5" s="8"/>
      <c r="M5" s="8"/>
      <c r="N5" s="8"/>
    </row>
    <row r="6" spans="1:14" x14ac:dyDescent="0.3">
      <c r="A6" s="4" t="s">
        <v>14</v>
      </c>
      <c r="B6" s="8">
        <v>1826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/>
      <c r="L6" s="8"/>
      <c r="M6" s="8"/>
      <c r="N6" s="8"/>
    </row>
    <row r="7" spans="1:14" x14ac:dyDescent="0.3">
      <c r="A7" s="4" t="s">
        <v>15</v>
      </c>
      <c r="B7" s="8">
        <v>2599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100</v>
      </c>
      <c r="I7" s="8">
        <v>0</v>
      </c>
      <c r="J7" s="8">
        <v>0</v>
      </c>
      <c r="K7" s="8"/>
      <c r="L7" s="8"/>
      <c r="M7" s="8"/>
      <c r="N7" s="8"/>
    </row>
    <row r="8" spans="1:14" x14ac:dyDescent="0.3">
      <c r="A8" s="4" t="s">
        <v>16</v>
      </c>
      <c r="B8" s="8">
        <v>2187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/>
      <c r="L8" s="8"/>
      <c r="M8" s="8"/>
      <c r="N8" s="8"/>
    </row>
    <row r="9" spans="1:14" x14ac:dyDescent="0.3">
      <c r="A9" s="4" t="s">
        <v>17</v>
      </c>
      <c r="B9" s="8">
        <v>0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/>
      <c r="L9" s="8"/>
      <c r="M9" s="8"/>
      <c r="N9" s="8"/>
    </row>
    <row r="10" spans="1:14" x14ac:dyDescent="0.3">
      <c r="A10" s="4" t="s">
        <v>18</v>
      </c>
      <c r="B10" s="8">
        <v>5204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/>
      <c r="L10" s="8"/>
      <c r="M10" s="8"/>
      <c r="N10" s="8"/>
    </row>
    <row r="11" spans="1:14" x14ac:dyDescent="0.3">
      <c r="A11" s="4" t="s">
        <v>19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/>
      <c r="L11" s="8"/>
      <c r="M11" s="8"/>
      <c r="N11" s="8"/>
    </row>
    <row r="12" spans="1:14" x14ac:dyDescent="0.3">
      <c r="A12" s="6" t="s">
        <v>31</v>
      </c>
      <c r="B12" s="8">
        <v>114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/>
      <c r="L12" s="8"/>
      <c r="M12" s="8"/>
      <c r="N12" s="8"/>
    </row>
    <row r="13" spans="1:14" x14ac:dyDescent="0.3">
      <c r="A13" s="4" t="s">
        <v>20</v>
      </c>
      <c r="B13" s="8">
        <v>841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/>
      <c r="L13" s="8"/>
      <c r="M13" s="8"/>
      <c r="N13" s="8"/>
    </row>
    <row r="14" spans="1:14" x14ac:dyDescent="0.3">
      <c r="A14" s="4" t="s">
        <v>21</v>
      </c>
      <c r="B14" s="8">
        <v>0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/>
      <c r="L14" s="8"/>
      <c r="M14" s="8"/>
      <c r="N14" s="8"/>
    </row>
    <row r="15" spans="1:14" x14ac:dyDescent="0.3">
      <c r="A15" s="4" t="s">
        <v>22</v>
      </c>
      <c r="B15" s="8">
        <v>0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/>
      <c r="L15" s="8"/>
      <c r="M15" s="8"/>
      <c r="N15" s="8"/>
    </row>
    <row r="16" spans="1:14" x14ac:dyDescent="0.3">
      <c r="A16" s="4" t="s">
        <v>23</v>
      </c>
      <c r="B16" s="8">
        <v>0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/>
      <c r="L16" s="8"/>
      <c r="M16" s="8"/>
      <c r="N16" s="8"/>
    </row>
    <row r="17" spans="1:14" x14ac:dyDescent="0.3">
      <c r="A17" s="4" t="s">
        <v>24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/>
      <c r="L17" s="8"/>
      <c r="M17" s="8"/>
      <c r="N17" s="8"/>
    </row>
    <row r="18" spans="1:14" x14ac:dyDescent="0.3">
      <c r="A18" s="4" t="s">
        <v>25</v>
      </c>
      <c r="B18" s="8">
        <v>0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/>
      <c r="L18" s="8"/>
      <c r="M18" s="8"/>
      <c r="N18" s="8"/>
    </row>
    <row r="19" spans="1:14" x14ac:dyDescent="0.3">
      <c r="A19" s="4" t="s">
        <v>26</v>
      </c>
      <c r="B19" s="8">
        <v>0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/>
      <c r="L19" s="8"/>
      <c r="M19" s="8"/>
      <c r="N19" s="8"/>
    </row>
    <row r="20" spans="1:14" x14ac:dyDescent="0.3">
      <c r="A20" s="4" t="s">
        <v>27</v>
      </c>
      <c r="B20" s="8">
        <v>975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/>
      <c r="L20" s="8"/>
      <c r="M20" s="8"/>
      <c r="N20" s="8"/>
    </row>
    <row r="21" spans="1:14" x14ac:dyDescent="0.3">
      <c r="A21" s="4" t="s">
        <v>28</v>
      </c>
      <c r="B21" s="8">
        <v>0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/>
      <c r="L21" s="8"/>
      <c r="M21" s="8"/>
      <c r="N21" s="8"/>
    </row>
    <row r="22" spans="1:14" x14ac:dyDescent="0.3">
      <c r="A22" s="4" t="s">
        <v>29</v>
      </c>
      <c r="B22" s="8">
        <v>1799</v>
      </c>
      <c r="C22" s="8">
        <v>0</v>
      </c>
      <c r="D22" s="8">
        <v>500</v>
      </c>
      <c r="E22" s="8">
        <v>0</v>
      </c>
      <c r="F22" s="8">
        <v>0</v>
      </c>
      <c r="G22" s="8">
        <v>1000</v>
      </c>
      <c r="H22" s="8">
        <v>0</v>
      </c>
      <c r="I22" s="8">
        <v>500</v>
      </c>
      <c r="J22" s="8">
        <v>0</v>
      </c>
      <c r="K22" s="8"/>
      <c r="L22" s="8"/>
      <c r="M22" s="8"/>
      <c r="N22" s="8"/>
    </row>
    <row r="23" spans="1:14" x14ac:dyDescent="0.3">
      <c r="A23" s="5" t="s">
        <v>30</v>
      </c>
      <c r="B23" s="8">
        <f>SUM(B5:B22)</f>
        <v>16557</v>
      </c>
      <c r="C23" s="8">
        <f t="shared" ref="C23:J23" si="0">SUM(C5:C22)</f>
        <v>0</v>
      </c>
      <c r="D23" s="8">
        <f t="shared" si="0"/>
        <v>500</v>
      </c>
      <c r="E23" s="8">
        <f t="shared" si="0"/>
        <v>180</v>
      </c>
      <c r="F23" s="8">
        <f t="shared" si="0"/>
        <v>0</v>
      </c>
      <c r="G23" s="8">
        <f t="shared" si="0"/>
        <v>1000</v>
      </c>
      <c r="H23" s="8">
        <f t="shared" si="0"/>
        <v>100</v>
      </c>
      <c r="I23" s="8">
        <f t="shared" si="0"/>
        <v>800</v>
      </c>
      <c r="J23" s="8">
        <f t="shared" si="0"/>
        <v>0</v>
      </c>
      <c r="K23" s="8"/>
      <c r="L23" s="8"/>
      <c r="M23" s="8"/>
      <c r="N23" s="8"/>
    </row>
  </sheetData>
  <mergeCells count="1">
    <mergeCell ref="B2:K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Diesel</vt:lpstr>
      <vt:lpstr>MS-74</vt:lpstr>
      <vt:lpstr>100 Octane</vt:lpstr>
      <vt:lpstr>'100 Octane'!Print_Area</vt:lpstr>
      <vt:lpstr>Diesel!Print_Area</vt:lpstr>
      <vt:lpstr>'MS-74'!Print_Area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2026-06-19T16:01:45Z</dcterms:modified>
</cp:coreProperties>
</file>
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Diesel" sheetId="1" r:id="rId1"/>
    <sheet name="MS-74" sheetId="2" r:id="rId2"/>
    <sheet name="100 Octane" sheetId="3" r:id="rId3"/>
  </sheets>
  <definedNames>
    <definedName name="_xlnm.Print_Area" localSheetId="2">'100 Octane'!$A$1:$M$22</definedName>
    <definedName name="_xlnm.Print_Area" localSheetId="0">Diesel!$A$1:$M$22</definedName>
    <definedName name="_xlnm.Print_Area" localSheetId="1">'MS-74'!$A$1:$M$22</definedName>
  </definedNames>
  <calcPr calcId="152511"/>
</workbook>
</file>

<file path=xl/calcChain.xml><?xml version="1.0" encoding="utf-8"?>
<calcChain xmlns="http://schemas.openxmlformats.org/spreadsheetml/2006/main">
  <c r="N6" i="3" l="1"/>
  <c r="N23" i="3" s="1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5" i="3"/>
  <c r="C23" i="3"/>
  <c r="D23" i="3"/>
  <c r="E23" i="3"/>
  <c r="F23" i="3"/>
  <c r="G23" i="3"/>
  <c r="H23" i="3"/>
  <c r="I23" i="3"/>
  <c r="J23" i="3"/>
  <c r="K23" i="3"/>
  <c r="L23" i="3"/>
  <c r="M23" i="3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5" i="2"/>
  <c r="C23" i="2"/>
  <c r="D23" i="2"/>
  <c r="E23" i="2"/>
  <c r="F23" i="2"/>
  <c r="G23" i="2"/>
  <c r="H23" i="2"/>
  <c r="I23" i="2"/>
  <c r="J23" i="2"/>
  <c r="K23" i="2"/>
  <c r="L23" i="2"/>
  <c r="M23" i="2"/>
  <c r="N23" i="2"/>
  <c r="N6" i="1"/>
  <c r="N7" i="1"/>
  <c r="N8" i="1"/>
  <c r="N23" i="1" s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5" i="1"/>
  <c r="C23" i="1"/>
  <c r="D23" i="1"/>
  <c r="E23" i="1"/>
  <c r="F23" i="1"/>
  <c r="G23" i="1"/>
  <c r="H23" i="1"/>
  <c r="I23" i="1"/>
  <c r="J23" i="1"/>
  <c r="K23" i="1"/>
  <c r="L23" i="1"/>
  <c r="M23" i="1"/>
  <c r="B23" i="3" l="1"/>
  <c r="B23" i="2"/>
  <c r="B23" i="1" l="1"/>
</calcChain>
</file>

<file path=xl/sharedStrings.xml><?xml version="1.0" encoding="utf-8"?>
<sst xmlns="http://schemas.openxmlformats.org/spreadsheetml/2006/main" count="102" uniqueCount="36">
  <si>
    <t>Bde/Unit Name</t>
  </si>
  <si>
    <t>Jan</t>
  </si>
  <si>
    <t>Feb</t>
  </si>
  <si>
    <t>Jul</t>
  </si>
  <si>
    <t>Aug</t>
  </si>
  <si>
    <t>Sep</t>
  </si>
  <si>
    <t>Oct</t>
  </si>
  <si>
    <t>Nov</t>
  </si>
  <si>
    <t>Dec</t>
  </si>
  <si>
    <t>Mar</t>
  </si>
  <si>
    <t>Apr</t>
  </si>
  <si>
    <t>May</t>
  </si>
  <si>
    <t>Jun</t>
  </si>
  <si>
    <t>HQ 55 Arty Bde</t>
  </si>
  <si>
    <t>HQ 21 Inf Bde</t>
  </si>
  <si>
    <t>HQ 88 Inf Bde</t>
  </si>
  <si>
    <t>HQ 105 Inf Bde</t>
  </si>
  <si>
    <t>9 Bengal Lancers</t>
  </si>
  <si>
    <t>3 Engr Bn</t>
  </si>
  <si>
    <t>2 Sig Bn</t>
  </si>
  <si>
    <t>31 ST Bn</t>
  </si>
  <si>
    <t>41 Fd Amb</t>
  </si>
  <si>
    <t>71 Fd Amb</t>
  </si>
  <si>
    <t>505 DOC</t>
  </si>
  <si>
    <t>117 Fd Wksp Coy EME</t>
  </si>
  <si>
    <t>119 Fd Wksp Coy EME</t>
  </si>
  <si>
    <t>145 Fd Wksp Coy EME</t>
  </si>
  <si>
    <t>55 MP Unit</t>
  </si>
  <si>
    <t>55 FIU</t>
  </si>
  <si>
    <t>HQ Coy 55 Inf Div</t>
  </si>
  <si>
    <t xml:space="preserve">Total </t>
  </si>
  <si>
    <t xml:space="preserve">Diesel Exp in FY-2024-25 </t>
  </si>
  <si>
    <t xml:space="preserve">MS-74 Exp in FY-2024-25 </t>
  </si>
  <si>
    <t xml:space="preserve">100 Octane Exp in FY-2024-25 </t>
  </si>
  <si>
    <t>19 E Bengal (Div Sp Bn)</t>
  </si>
  <si>
    <t>Total Exp Bde/Unit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</si>
</sst>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b/>
      <sz val="13"/>
      <color theme="1"/>
      <name val="Arial"/>
      <family val="2"/>
    </font>
    <font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Border="1"/>
    <xf numFmtId="0" fontId="1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164" fontId="4" fillId="0" borderId="1" xfId="0" applyNumberFormat="1" applyFont="1" applyBorder="1" applyAlignment="1">
      <alignment horizontal="right" vertical="top" wrapText="1"/>
    </xf>
    <xf numFmtId="164" fontId="4" fillId="0" borderId="1" xfId="0" applyNumberFormat="1" applyFont="1" applyFill="1" applyBorder="1" applyAlignment="1">
      <alignment horizontal="right" vertical="top" wrapText="1"/>
    </xf>
    <xf numFmtId="164" fontId="4" fillId="4" borderId="1" xfId="0" applyNumberFormat="1" applyFont="1" applyFill="1" applyBorder="1" applyAlignment="1">
      <alignment horizontal="right" wrapText="1"/>
    </xf>
    <xf numFmtId="164" fontId="4" fillId="0" borderId="1" xfId="0" applyNumberFormat="1" applyFont="1" applyBorder="1" applyAlignment="1">
      <alignment horizontal="right" wrapText="1"/>
    </xf>
    <xf numFmtId="164" fontId="4" fillId="0" borderId="1" xfId="0" applyNumberFormat="1" applyFont="1" applyFill="1" applyBorder="1" applyAlignment="1">
      <alignment horizontal="right" wrapText="1"/>
    </xf>
    <xf numFmtId="0" fontId="5" fillId="0" borderId="1" xfId="0" applyFont="1" applyBorder="1" applyAlignment="1">
      <alignment horizontal="center"/>
    </xf>
    <xf numFmtId="164" fontId="6" fillId="0" borderId="1" xfId="0" applyNumberFormat="1" applyFont="1" applyBorder="1" applyAlignment="1">
      <alignment horizontal="right" vertical="top" wrapText="1"/>
    </xf>
    <xf numFmtId="164" fontId="6" fillId="0" borderId="1" xfId="0" applyNumberFormat="1" applyFont="1" applyFill="1" applyBorder="1" applyAlignment="1">
      <alignment horizontal="right" vertical="top" wrapText="1"/>
    </xf>
    <xf numFmtId="164" fontId="5" fillId="0" borderId="1" xfId="0" applyNumberFormat="1" applyFont="1" applyBorder="1" applyAlignment="1">
      <alignment horizontal="right"/>
    </xf>
    <xf numFmtId="0" fontId="2" fillId="3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wrapText="1"/>
    </xf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topLeftCell="A4" zoomScale="85" zoomScaleNormal="85" workbookViewId="0">
      <selection activeCell="N12" sqref="N12"/>
    </sheetView>
  </sheetViews>
  <sheetFormatPr defaultRowHeight="17.25" x14ac:dyDescent="0.3"/>
  <cols>
    <col min="1" max="1" width="25.85546875" style="2" customWidth="1"/>
    <col min="2" max="4" width="14" style="2" customWidth="1"/>
    <col min="5" max="5" width="13.85546875" style="2" customWidth="1"/>
    <col min="6" max="6" width="14.42578125" style="2" customWidth="1"/>
    <col min="7" max="7" width="14.28515625" style="2" customWidth="1"/>
    <col min="8" max="8" width="14" style="2" customWidth="1"/>
    <col min="9" max="9" width="14.140625" style="2" customWidth="1"/>
    <col min="10" max="10" width="13.7109375" style="2" customWidth="1"/>
    <col min="11" max="11" width="14.42578125" style="2" customWidth="1"/>
    <col min="12" max="12" width="14.28515625" style="2" customWidth="1"/>
    <col min="13" max="13" width="13.5703125" style="2" customWidth="1"/>
    <col min="14" max="14" width="25.5703125" style="2" customWidth="1"/>
    <col min="15" max="16384" width="9.140625" style="2"/>
  </cols>
  <sheetData>
    <row r="1" spans="1:1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4" ht="27" customHeight="1" x14ac:dyDescent="0.3">
      <c r="A2" s="1"/>
      <c r="B2" s="14" t="s">
        <v>31</v>
      </c>
      <c r="C2" s="14"/>
      <c r="D2" s="14"/>
      <c r="E2" s="14"/>
      <c r="F2" s="14"/>
      <c r="G2" s="14"/>
      <c r="H2" s="14"/>
      <c r="I2" s="14"/>
      <c r="J2" s="14"/>
      <c r="K2" s="14"/>
    </row>
    <row r="3" spans="1:14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4" x14ac:dyDescent="0.3">
      <c r="A4" s="3" t="s">
        <v>0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1</v>
      </c>
      <c r="I4" s="3" t="s">
        <v>2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35</v>
      </c>
    </row>
    <row r="5" spans="1:14" x14ac:dyDescent="0.3">
      <c r="A5" s="4" t="s">
        <v>13</v>
      </c>
      <c r="B5" s="5">
        <v>11863</v>
      </c>
      <c r="C5" s="5">
        <v>13190</v>
      </c>
      <c r="D5" s="5">
        <v>20501</v>
      </c>
      <c r="E5" s="5">
        <v>16309</v>
      </c>
      <c r="F5" s="5">
        <v>12149</v>
      </c>
      <c r="G5" s="5">
        <v>17514</v>
      </c>
      <c r="H5" s="11">
        <v>14905</v>
      </c>
      <c r="I5" s="11">
        <v>15620</v>
      </c>
      <c r="J5" s="11">
        <v>10767</v>
      </c>
      <c r="K5" s="11">
        <v>17763</v>
      </c>
      <c r="L5" s="11">
        <v>27578</v>
      </c>
      <c r="M5" s="11">
        <v>13127</v>
      </c>
      <c r="N5" s="16">
        <f>SUM(B5:M5)</f>
        <v>191286</v>
      </c>
    </row>
    <row r="6" spans="1:14" x14ac:dyDescent="0.3">
      <c r="A6" s="4" t="s">
        <v>14</v>
      </c>
      <c r="B6" s="5">
        <v>8813</v>
      </c>
      <c r="C6" s="5">
        <v>7932</v>
      </c>
      <c r="D6" s="5">
        <v>9926</v>
      </c>
      <c r="E6" s="5">
        <v>10108</v>
      </c>
      <c r="F6" s="5">
        <v>11584</v>
      </c>
      <c r="G6" s="5">
        <v>10485</v>
      </c>
      <c r="H6" s="11">
        <v>10624</v>
      </c>
      <c r="I6" s="11">
        <v>8696</v>
      </c>
      <c r="J6" s="11">
        <v>8884</v>
      </c>
      <c r="K6" s="11">
        <v>11384</v>
      </c>
      <c r="L6" s="11">
        <v>10795</v>
      </c>
      <c r="M6" s="11">
        <v>11927</v>
      </c>
      <c r="N6" s="16">
        <f t="shared" ref="N6:N22" si="0">SUM(B6:M6)</f>
        <v>121158</v>
      </c>
    </row>
    <row r="7" spans="1:14" x14ac:dyDescent="0.3">
      <c r="A7" s="4" t="s">
        <v>15</v>
      </c>
      <c r="B7" s="5">
        <v>8869</v>
      </c>
      <c r="C7" s="5">
        <v>7482</v>
      </c>
      <c r="D7" s="5">
        <v>7642</v>
      </c>
      <c r="E7" s="5">
        <v>11138</v>
      </c>
      <c r="F7" s="5">
        <v>10111</v>
      </c>
      <c r="G7" s="5">
        <v>9850</v>
      </c>
      <c r="H7" s="11">
        <v>12440</v>
      </c>
      <c r="I7" s="11">
        <v>9223</v>
      </c>
      <c r="J7" s="11">
        <v>9982</v>
      </c>
      <c r="K7" s="11">
        <v>8650</v>
      </c>
      <c r="L7" s="11">
        <v>9988</v>
      </c>
      <c r="M7" s="11">
        <v>11598</v>
      </c>
      <c r="N7" s="16">
        <f t="shared" si="0"/>
        <v>116973</v>
      </c>
    </row>
    <row r="8" spans="1:14" x14ac:dyDescent="0.3">
      <c r="A8" s="4" t="s">
        <v>16</v>
      </c>
      <c r="B8" s="5">
        <v>9736</v>
      </c>
      <c r="C8" s="5">
        <v>18839</v>
      </c>
      <c r="D8" s="5">
        <v>14629</v>
      </c>
      <c r="E8" s="5">
        <v>12870</v>
      </c>
      <c r="F8" s="5">
        <v>10731</v>
      </c>
      <c r="G8" s="5">
        <v>19311</v>
      </c>
      <c r="H8" s="11">
        <v>17274</v>
      </c>
      <c r="I8" s="11">
        <v>11336</v>
      </c>
      <c r="J8" s="11">
        <v>10550</v>
      </c>
      <c r="K8" s="11">
        <v>10444</v>
      </c>
      <c r="L8" s="11">
        <v>20357</v>
      </c>
      <c r="M8" s="11">
        <v>16914</v>
      </c>
      <c r="N8" s="16">
        <f t="shared" si="0"/>
        <v>172991</v>
      </c>
    </row>
    <row r="9" spans="1:14" x14ac:dyDescent="0.3">
      <c r="A9" s="4" t="s">
        <v>17</v>
      </c>
      <c r="B9" s="5">
        <v>3327</v>
      </c>
      <c r="C9" s="5">
        <v>2910</v>
      </c>
      <c r="D9" s="5">
        <v>2417</v>
      </c>
      <c r="E9" s="5">
        <v>2947</v>
      </c>
      <c r="F9" s="5">
        <v>4349</v>
      </c>
      <c r="G9" s="5">
        <v>16981</v>
      </c>
      <c r="H9" s="11">
        <v>6764</v>
      </c>
      <c r="I9" s="11">
        <v>4206</v>
      </c>
      <c r="J9" s="11">
        <v>2791</v>
      </c>
      <c r="K9" s="11">
        <v>2897</v>
      </c>
      <c r="L9" s="11">
        <v>4065</v>
      </c>
      <c r="M9" s="11">
        <v>3547</v>
      </c>
      <c r="N9" s="16">
        <f t="shared" si="0"/>
        <v>57201</v>
      </c>
    </row>
    <row r="10" spans="1:14" x14ac:dyDescent="0.3">
      <c r="A10" s="4" t="s">
        <v>18</v>
      </c>
      <c r="B10" s="5">
        <v>6000</v>
      </c>
      <c r="C10" s="5">
        <v>3000</v>
      </c>
      <c r="D10" s="5">
        <v>6000</v>
      </c>
      <c r="E10" s="5">
        <v>5500</v>
      </c>
      <c r="F10" s="5">
        <v>14000</v>
      </c>
      <c r="G10" s="5">
        <v>25000</v>
      </c>
      <c r="H10" s="11">
        <v>10100</v>
      </c>
      <c r="I10" s="11">
        <v>7400</v>
      </c>
      <c r="J10" s="11">
        <v>12300</v>
      </c>
      <c r="K10" s="11">
        <v>5200</v>
      </c>
      <c r="L10" s="11">
        <v>14000</v>
      </c>
      <c r="M10" s="11">
        <v>9000</v>
      </c>
      <c r="N10" s="16">
        <f t="shared" si="0"/>
        <v>117500</v>
      </c>
    </row>
    <row r="11" spans="1:14" x14ac:dyDescent="0.3">
      <c r="A11" s="4" t="s">
        <v>19</v>
      </c>
      <c r="B11" s="6">
        <v>5081</v>
      </c>
      <c r="C11" s="5">
        <v>7741</v>
      </c>
      <c r="D11" s="5">
        <v>6012</v>
      </c>
      <c r="E11" s="5">
        <v>5913</v>
      </c>
      <c r="F11" s="5">
        <v>8021</v>
      </c>
      <c r="G11" s="5">
        <v>9447</v>
      </c>
      <c r="H11" s="11">
        <v>8771</v>
      </c>
      <c r="I11" s="11">
        <v>5856</v>
      </c>
      <c r="J11" s="11">
        <v>6572</v>
      </c>
      <c r="K11" s="11">
        <v>6112</v>
      </c>
      <c r="L11" s="11">
        <v>5971</v>
      </c>
      <c r="M11" s="11">
        <v>5986</v>
      </c>
      <c r="N11" s="16">
        <f t="shared" si="0"/>
        <v>81483</v>
      </c>
    </row>
    <row r="12" spans="1:14" x14ac:dyDescent="0.3">
      <c r="A12" s="4" t="s">
        <v>34</v>
      </c>
      <c r="B12" s="5">
        <v>2826</v>
      </c>
      <c r="C12" s="5">
        <v>7762</v>
      </c>
      <c r="D12" s="5">
        <v>8029</v>
      </c>
      <c r="E12" s="5">
        <v>11228</v>
      </c>
      <c r="F12" s="5">
        <v>9072</v>
      </c>
      <c r="G12" s="5">
        <v>22125</v>
      </c>
      <c r="H12" s="11">
        <v>16328</v>
      </c>
      <c r="I12" s="11">
        <v>14878</v>
      </c>
      <c r="J12" s="11">
        <v>10825</v>
      </c>
      <c r="K12" s="11">
        <v>11524</v>
      </c>
      <c r="L12" s="11">
        <v>12602</v>
      </c>
      <c r="M12" s="11">
        <v>11733</v>
      </c>
      <c r="N12" s="16">
        <f t="shared" si="0"/>
        <v>138932</v>
      </c>
    </row>
    <row r="13" spans="1:14" x14ac:dyDescent="0.3">
      <c r="A13" s="4" t="s">
        <v>20</v>
      </c>
      <c r="B13" s="6">
        <v>4836</v>
      </c>
      <c r="C13" s="5">
        <v>5097</v>
      </c>
      <c r="D13" s="5">
        <v>5439</v>
      </c>
      <c r="E13" s="5">
        <v>4310</v>
      </c>
      <c r="F13" s="5">
        <v>6516</v>
      </c>
      <c r="G13" s="5">
        <v>11625</v>
      </c>
      <c r="H13" s="11">
        <v>13717</v>
      </c>
      <c r="I13" s="11">
        <v>3625</v>
      </c>
      <c r="J13" s="11">
        <v>4856</v>
      </c>
      <c r="K13" s="11">
        <v>5117</v>
      </c>
      <c r="L13" s="11">
        <v>7083</v>
      </c>
      <c r="M13" s="11">
        <v>5130</v>
      </c>
      <c r="N13" s="16">
        <f t="shared" si="0"/>
        <v>77351</v>
      </c>
    </row>
    <row r="14" spans="1:14" x14ac:dyDescent="0.3">
      <c r="A14" s="4" t="s">
        <v>21</v>
      </c>
      <c r="B14" s="5">
        <v>688</v>
      </c>
      <c r="C14" s="5">
        <v>1309</v>
      </c>
      <c r="D14" s="5">
        <v>1081</v>
      </c>
      <c r="E14" s="5">
        <v>1405</v>
      </c>
      <c r="F14" s="5">
        <v>1350</v>
      </c>
      <c r="G14" s="5">
        <v>1800</v>
      </c>
      <c r="H14" s="11">
        <v>1504</v>
      </c>
      <c r="I14" s="11">
        <v>1455</v>
      </c>
      <c r="J14" s="11">
        <v>1429</v>
      </c>
      <c r="K14" s="11">
        <v>1329</v>
      </c>
      <c r="L14" s="11">
        <v>1591</v>
      </c>
      <c r="M14" s="11">
        <v>1785</v>
      </c>
      <c r="N14" s="16">
        <f t="shared" si="0"/>
        <v>16726</v>
      </c>
    </row>
    <row r="15" spans="1:14" x14ac:dyDescent="0.3">
      <c r="A15" s="4" t="s">
        <v>22</v>
      </c>
      <c r="B15" s="5">
        <v>1137</v>
      </c>
      <c r="C15" s="5">
        <v>1387</v>
      </c>
      <c r="D15" s="5">
        <v>1119</v>
      </c>
      <c r="E15" s="5">
        <v>1399</v>
      </c>
      <c r="F15" s="5">
        <v>1586</v>
      </c>
      <c r="G15" s="5">
        <v>1657</v>
      </c>
      <c r="H15" s="11">
        <v>1696</v>
      </c>
      <c r="I15" s="11">
        <v>1597</v>
      </c>
      <c r="J15" s="11">
        <v>1339</v>
      </c>
      <c r="K15" s="11">
        <v>1803</v>
      </c>
      <c r="L15" s="11">
        <v>1605</v>
      </c>
      <c r="M15" s="11">
        <v>1385</v>
      </c>
      <c r="N15" s="16">
        <f t="shared" si="0"/>
        <v>17710</v>
      </c>
    </row>
    <row r="16" spans="1:14" x14ac:dyDescent="0.3">
      <c r="A16" s="4" t="s">
        <v>23</v>
      </c>
      <c r="B16" s="6">
        <v>697</v>
      </c>
      <c r="C16" s="5">
        <v>1118</v>
      </c>
      <c r="D16" s="5">
        <v>1233</v>
      </c>
      <c r="E16" s="5">
        <v>882</v>
      </c>
      <c r="F16" s="5">
        <v>1121</v>
      </c>
      <c r="G16" s="5">
        <v>1016</v>
      </c>
      <c r="H16" s="11">
        <v>1071</v>
      </c>
      <c r="I16" s="11">
        <v>477</v>
      </c>
      <c r="J16" s="11">
        <v>431</v>
      </c>
      <c r="K16" s="11">
        <v>1029</v>
      </c>
      <c r="L16" s="11">
        <v>1043</v>
      </c>
      <c r="M16" s="11">
        <v>1078</v>
      </c>
      <c r="N16" s="16">
        <f t="shared" si="0"/>
        <v>11196</v>
      </c>
    </row>
    <row r="17" spans="1:14" x14ac:dyDescent="0.3">
      <c r="A17" s="4" t="s">
        <v>24</v>
      </c>
      <c r="B17" s="5">
        <v>643</v>
      </c>
      <c r="C17" s="5">
        <v>790</v>
      </c>
      <c r="D17" s="5">
        <v>646</v>
      </c>
      <c r="E17" s="5">
        <v>1056</v>
      </c>
      <c r="F17" s="5">
        <v>703</v>
      </c>
      <c r="G17" s="5">
        <v>985</v>
      </c>
      <c r="H17" s="11">
        <v>1348</v>
      </c>
      <c r="I17" s="11">
        <v>875</v>
      </c>
      <c r="J17" s="11">
        <v>758</v>
      </c>
      <c r="K17" s="11">
        <v>790</v>
      </c>
      <c r="L17" s="11">
        <v>1629</v>
      </c>
      <c r="M17" s="11">
        <v>687</v>
      </c>
      <c r="N17" s="16">
        <f t="shared" si="0"/>
        <v>10910</v>
      </c>
    </row>
    <row r="18" spans="1:14" x14ac:dyDescent="0.3">
      <c r="A18" s="4" t="s">
        <v>25</v>
      </c>
      <c r="B18" s="5">
        <v>1579</v>
      </c>
      <c r="C18" s="5">
        <v>1153</v>
      </c>
      <c r="D18" s="5">
        <v>873</v>
      </c>
      <c r="E18" s="5">
        <v>697</v>
      </c>
      <c r="F18" s="5">
        <v>1069</v>
      </c>
      <c r="G18" s="5">
        <v>905</v>
      </c>
      <c r="H18" s="11">
        <v>1320</v>
      </c>
      <c r="I18" s="11">
        <v>807</v>
      </c>
      <c r="J18" s="11">
        <v>691</v>
      </c>
      <c r="K18" s="11">
        <v>1062</v>
      </c>
      <c r="L18" s="11">
        <v>1338</v>
      </c>
      <c r="M18" s="11">
        <v>962</v>
      </c>
      <c r="N18" s="16">
        <f t="shared" si="0"/>
        <v>12456</v>
      </c>
    </row>
    <row r="19" spans="1:14" x14ac:dyDescent="0.3">
      <c r="A19" s="4" t="s">
        <v>26</v>
      </c>
      <c r="B19" s="7">
        <v>1346</v>
      </c>
      <c r="C19" s="5">
        <v>486</v>
      </c>
      <c r="D19" s="5">
        <v>456</v>
      </c>
      <c r="E19" s="5">
        <v>866</v>
      </c>
      <c r="F19" s="5">
        <v>991</v>
      </c>
      <c r="G19" s="5">
        <v>665</v>
      </c>
      <c r="H19" s="11">
        <v>710</v>
      </c>
      <c r="I19" s="11">
        <v>529</v>
      </c>
      <c r="J19" s="11">
        <v>448</v>
      </c>
      <c r="K19" s="11">
        <v>763</v>
      </c>
      <c r="L19" s="11">
        <v>1044</v>
      </c>
      <c r="M19" s="11">
        <v>556</v>
      </c>
      <c r="N19" s="16">
        <f t="shared" si="0"/>
        <v>8860</v>
      </c>
    </row>
    <row r="20" spans="1:14" x14ac:dyDescent="0.3">
      <c r="A20" s="4" t="s">
        <v>27</v>
      </c>
      <c r="B20" s="8">
        <v>2915</v>
      </c>
      <c r="C20" s="5">
        <v>2662</v>
      </c>
      <c r="D20" s="5">
        <v>1955</v>
      </c>
      <c r="E20" s="5">
        <v>1950</v>
      </c>
      <c r="F20" s="5">
        <v>2060</v>
      </c>
      <c r="G20" s="5">
        <v>2500</v>
      </c>
      <c r="H20" s="11">
        <v>2740</v>
      </c>
      <c r="I20" s="11">
        <v>2335</v>
      </c>
      <c r="J20" s="11">
        <v>1940</v>
      </c>
      <c r="K20" s="11">
        <v>2400</v>
      </c>
      <c r="L20" s="11">
        <v>2310</v>
      </c>
      <c r="M20" s="11">
        <v>1758</v>
      </c>
      <c r="N20" s="16">
        <f t="shared" si="0"/>
        <v>27525</v>
      </c>
    </row>
    <row r="21" spans="1:14" x14ac:dyDescent="0.3">
      <c r="A21" s="4" t="s">
        <v>28</v>
      </c>
      <c r="B21" s="7">
        <v>1680</v>
      </c>
      <c r="C21" s="5">
        <v>1275</v>
      </c>
      <c r="D21" s="5">
        <v>795</v>
      </c>
      <c r="E21" s="5">
        <v>670</v>
      </c>
      <c r="F21" s="5">
        <v>540</v>
      </c>
      <c r="G21" s="5">
        <v>700</v>
      </c>
      <c r="H21" s="11">
        <v>780</v>
      </c>
      <c r="I21" s="11">
        <v>860</v>
      </c>
      <c r="J21" s="11">
        <v>670</v>
      </c>
      <c r="K21" s="11">
        <v>625</v>
      </c>
      <c r="L21" s="11">
        <v>840</v>
      </c>
      <c r="M21" s="11">
        <v>1080</v>
      </c>
      <c r="N21" s="16">
        <f t="shared" si="0"/>
        <v>10515</v>
      </c>
    </row>
    <row r="22" spans="1:14" x14ac:dyDescent="0.3">
      <c r="A22" s="4" t="s">
        <v>29</v>
      </c>
      <c r="B22" s="9">
        <v>3502</v>
      </c>
      <c r="C22" s="5">
        <v>1834</v>
      </c>
      <c r="D22" s="5">
        <v>1972</v>
      </c>
      <c r="E22" s="5">
        <v>1181</v>
      </c>
      <c r="F22" s="5">
        <v>1399</v>
      </c>
      <c r="G22" s="5">
        <v>2168</v>
      </c>
      <c r="H22" s="11">
        <v>1936</v>
      </c>
      <c r="I22" s="11">
        <v>1290</v>
      </c>
      <c r="J22" s="11">
        <v>1173</v>
      </c>
      <c r="K22" s="11">
        <v>1415</v>
      </c>
      <c r="L22" s="11">
        <v>1261</v>
      </c>
      <c r="M22" s="11">
        <v>1588</v>
      </c>
      <c r="N22" s="16">
        <f t="shared" si="0"/>
        <v>20719</v>
      </c>
    </row>
    <row r="23" spans="1:14" x14ac:dyDescent="0.3">
      <c r="A23" s="10" t="s">
        <v>30</v>
      </c>
      <c r="B23" s="13">
        <f>SUM(B5:B22)</f>
        <v>75538</v>
      </c>
      <c r="C23" s="13">
        <f t="shared" ref="C23:N23" si="1">SUM(C5:C22)</f>
        <v>85967</v>
      </c>
      <c r="D23" s="13">
        <f t="shared" si="1"/>
        <v>90725</v>
      </c>
      <c r="E23" s="13">
        <f t="shared" si="1"/>
        <v>90429</v>
      </c>
      <c r="F23" s="13">
        <f t="shared" si="1"/>
        <v>97352</v>
      </c>
      <c r="G23" s="13">
        <f t="shared" si="1"/>
        <v>154734</v>
      </c>
      <c r="H23" s="13">
        <f t="shared" si="1"/>
        <v>124028</v>
      </c>
      <c r="I23" s="13">
        <f t="shared" si="1"/>
        <v>91065</v>
      </c>
      <c r="J23" s="13">
        <f t="shared" si="1"/>
        <v>86406</v>
      </c>
      <c r="K23" s="13">
        <f t="shared" si="1"/>
        <v>90307</v>
      </c>
      <c r="L23" s="13">
        <f t="shared" si="1"/>
        <v>125100</v>
      </c>
      <c r="M23" s="13">
        <f t="shared" si="1"/>
        <v>99841</v>
      </c>
      <c r="N23" s="13">
        <f t="shared" si="1"/>
        <v>1211492</v>
      </c>
    </row>
  </sheetData>
  <mergeCells count="1">
    <mergeCell ref="B2:K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tabSelected="1" zoomScale="70" zoomScaleNormal="70" workbookViewId="0">
      <selection activeCell="N17" sqref="N17"/>
    </sheetView>
  </sheetViews>
  <sheetFormatPr defaultRowHeight="17.25" x14ac:dyDescent="0.3"/>
  <cols>
    <col min="1" max="1" width="25.85546875" style="2" customWidth="1"/>
    <col min="2" max="4" width="14" style="2" customWidth="1"/>
    <col min="5" max="5" width="13.85546875" style="2" customWidth="1"/>
    <col min="6" max="6" width="14.42578125" style="2" customWidth="1"/>
    <col min="7" max="7" width="14.28515625" style="2" customWidth="1"/>
    <col min="8" max="8" width="14" style="2" customWidth="1"/>
    <col min="9" max="9" width="14.140625" style="2" customWidth="1"/>
    <col min="10" max="10" width="13.7109375" style="2" customWidth="1"/>
    <col min="11" max="11" width="14.42578125" style="2" customWidth="1"/>
    <col min="12" max="12" width="14.28515625" style="2" customWidth="1"/>
    <col min="13" max="13" width="13.5703125" style="2" customWidth="1"/>
    <col min="14" max="14" width="23.85546875" style="2" customWidth="1"/>
    <col min="15" max="16384" width="9.140625" style="2"/>
  </cols>
  <sheetData>
    <row r="1" spans="1:1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4" ht="27" customHeight="1" x14ac:dyDescent="0.3">
      <c r="A2" s="1"/>
      <c r="B2" s="14" t="s">
        <v>32</v>
      </c>
      <c r="C2" s="14"/>
      <c r="D2" s="14"/>
      <c r="E2" s="14"/>
      <c r="F2" s="14"/>
      <c r="G2" s="14"/>
      <c r="H2" s="14"/>
      <c r="I2" s="14"/>
      <c r="J2" s="14"/>
      <c r="K2" s="14"/>
    </row>
    <row r="3" spans="1:14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4" x14ac:dyDescent="0.3">
      <c r="A4" s="3" t="s">
        <v>0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1</v>
      </c>
      <c r="I4" s="3" t="s">
        <v>2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35</v>
      </c>
    </row>
    <row r="5" spans="1:14" x14ac:dyDescent="0.3">
      <c r="A5" s="4" t="s">
        <v>13</v>
      </c>
      <c r="B5" s="11">
        <v>0</v>
      </c>
      <c r="C5" s="11">
        <v>17</v>
      </c>
      <c r="D5" s="11">
        <v>49</v>
      </c>
      <c r="E5" s="11">
        <v>58</v>
      </c>
      <c r="F5" s="11">
        <v>59</v>
      </c>
      <c r="G5" s="11">
        <v>58</v>
      </c>
      <c r="H5" s="11">
        <v>55</v>
      </c>
      <c r="I5" s="11">
        <v>48</v>
      </c>
      <c r="J5" s="11">
        <v>67</v>
      </c>
      <c r="K5" s="11">
        <v>39</v>
      </c>
      <c r="L5" s="11">
        <v>38</v>
      </c>
      <c r="M5" s="11">
        <v>47</v>
      </c>
      <c r="N5" s="16">
        <f>SUM(B5:M5)</f>
        <v>535</v>
      </c>
    </row>
    <row r="6" spans="1:14" x14ac:dyDescent="0.3">
      <c r="A6" s="4" t="s">
        <v>14</v>
      </c>
      <c r="B6" s="11">
        <v>1</v>
      </c>
      <c r="C6" s="11">
        <v>1</v>
      </c>
      <c r="D6" s="11">
        <v>1</v>
      </c>
      <c r="E6" s="11">
        <v>1</v>
      </c>
      <c r="F6" s="11">
        <v>3</v>
      </c>
      <c r="G6" s="11">
        <v>5</v>
      </c>
      <c r="H6" s="11">
        <v>5</v>
      </c>
      <c r="I6" s="11">
        <v>5</v>
      </c>
      <c r="J6" s="11">
        <v>5</v>
      </c>
      <c r="K6" s="11">
        <v>43</v>
      </c>
      <c r="L6" s="11">
        <v>2</v>
      </c>
      <c r="M6" s="11">
        <v>10</v>
      </c>
      <c r="N6" s="16">
        <f t="shared" ref="N6:N22" si="0">SUM(B6:M6)</f>
        <v>82</v>
      </c>
    </row>
    <row r="7" spans="1:14" x14ac:dyDescent="0.3">
      <c r="A7" s="4" t="s">
        <v>15</v>
      </c>
      <c r="B7" s="11">
        <v>22</v>
      </c>
      <c r="C7" s="11">
        <v>56</v>
      </c>
      <c r="D7" s="11">
        <v>66</v>
      </c>
      <c r="E7" s="11">
        <v>77</v>
      </c>
      <c r="F7" s="11">
        <v>83</v>
      </c>
      <c r="G7" s="11">
        <v>83</v>
      </c>
      <c r="H7" s="11">
        <v>78</v>
      </c>
      <c r="I7" s="11">
        <v>53</v>
      </c>
      <c r="J7" s="11">
        <v>32</v>
      </c>
      <c r="K7" s="11">
        <v>33</v>
      </c>
      <c r="L7" s="11">
        <v>9</v>
      </c>
      <c r="M7" s="11">
        <v>49</v>
      </c>
      <c r="N7" s="16">
        <f t="shared" si="0"/>
        <v>641</v>
      </c>
    </row>
    <row r="8" spans="1:14" x14ac:dyDescent="0.3">
      <c r="A8" s="4" t="s">
        <v>16</v>
      </c>
      <c r="B8" s="11">
        <v>0</v>
      </c>
      <c r="C8" s="11">
        <v>11</v>
      </c>
      <c r="D8" s="11">
        <v>8</v>
      </c>
      <c r="E8" s="11">
        <v>12</v>
      </c>
      <c r="F8" s="11">
        <v>15</v>
      </c>
      <c r="G8" s="11">
        <v>15</v>
      </c>
      <c r="H8" s="11">
        <v>12</v>
      </c>
      <c r="I8" s="11">
        <v>10</v>
      </c>
      <c r="J8" s="11">
        <v>3</v>
      </c>
      <c r="K8" s="11">
        <v>12</v>
      </c>
      <c r="L8" s="11">
        <v>28</v>
      </c>
      <c r="M8" s="11">
        <v>28</v>
      </c>
      <c r="N8" s="16">
        <f t="shared" si="0"/>
        <v>154</v>
      </c>
    </row>
    <row r="9" spans="1:14" x14ac:dyDescent="0.3">
      <c r="A9" s="4" t="s">
        <v>17</v>
      </c>
      <c r="B9" s="11">
        <v>0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2</v>
      </c>
      <c r="K9" s="11">
        <v>15</v>
      </c>
      <c r="L9" s="11">
        <v>88</v>
      </c>
      <c r="M9" s="11">
        <v>45</v>
      </c>
      <c r="N9" s="16">
        <f t="shared" si="0"/>
        <v>150</v>
      </c>
    </row>
    <row r="10" spans="1:14" x14ac:dyDescent="0.3">
      <c r="A10" s="4" t="s">
        <v>18</v>
      </c>
      <c r="B10" s="11">
        <v>10</v>
      </c>
      <c r="C10" s="11">
        <v>20</v>
      </c>
      <c r="D10" s="11">
        <v>20</v>
      </c>
      <c r="E10" s="11">
        <v>20</v>
      </c>
      <c r="F10" s="11">
        <v>20</v>
      </c>
      <c r="G10" s="11">
        <v>20</v>
      </c>
      <c r="H10" s="11">
        <v>10</v>
      </c>
      <c r="I10" s="11">
        <v>20</v>
      </c>
      <c r="J10" s="11">
        <v>20</v>
      </c>
      <c r="K10" s="11">
        <v>10</v>
      </c>
      <c r="L10" s="11">
        <v>0</v>
      </c>
      <c r="M10" s="11">
        <v>30</v>
      </c>
      <c r="N10" s="16">
        <f t="shared" si="0"/>
        <v>200</v>
      </c>
    </row>
    <row r="11" spans="1:14" x14ac:dyDescent="0.3">
      <c r="A11" s="4" t="s">
        <v>19</v>
      </c>
      <c r="B11" s="11">
        <v>22</v>
      </c>
      <c r="C11" s="11">
        <v>0</v>
      </c>
      <c r="D11" s="11">
        <v>14</v>
      </c>
      <c r="E11" s="11">
        <v>10</v>
      </c>
      <c r="F11" s="11">
        <v>0</v>
      </c>
      <c r="G11" s="11">
        <v>0</v>
      </c>
      <c r="H11" s="11">
        <v>8</v>
      </c>
      <c r="I11" s="11">
        <v>0</v>
      </c>
      <c r="J11" s="11">
        <v>18</v>
      </c>
      <c r="K11" s="11">
        <v>16</v>
      </c>
      <c r="L11" s="11">
        <v>14</v>
      </c>
      <c r="M11" s="11">
        <v>9</v>
      </c>
      <c r="N11" s="16">
        <f t="shared" si="0"/>
        <v>111</v>
      </c>
    </row>
    <row r="12" spans="1:14" x14ac:dyDescent="0.3">
      <c r="A12" s="4" t="s">
        <v>34</v>
      </c>
      <c r="B12" s="12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6">
        <f t="shared" si="0"/>
        <v>0</v>
      </c>
    </row>
    <row r="13" spans="1:14" x14ac:dyDescent="0.3">
      <c r="A13" s="4" t="s">
        <v>20</v>
      </c>
      <c r="B13" s="12">
        <v>0</v>
      </c>
      <c r="C13" s="11">
        <v>0</v>
      </c>
      <c r="D13" s="11">
        <v>0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6</v>
      </c>
      <c r="K13" s="11">
        <v>0</v>
      </c>
      <c r="L13" s="11">
        <v>0</v>
      </c>
      <c r="M13" s="11">
        <v>0</v>
      </c>
      <c r="N13" s="16">
        <f t="shared" si="0"/>
        <v>6</v>
      </c>
    </row>
    <row r="14" spans="1:14" x14ac:dyDescent="0.3">
      <c r="A14" s="4" t="s">
        <v>21</v>
      </c>
      <c r="B14" s="12">
        <v>0</v>
      </c>
      <c r="C14" s="11">
        <v>8</v>
      </c>
      <c r="D14" s="11">
        <v>13</v>
      </c>
      <c r="E14" s="11">
        <v>9</v>
      </c>
      <c r="F14" s="11">
        <v>10</v>
      </c>
      <c r="G14" s="11">
        <v>1</v>
      </c>
      <c r="H14" s="11">
        <v>1</v>
      </c>
      <c r="I14" s="11">
        <v>10</v>
      </c>
      <c r="J14" s="11">
        <v>10</v>
      </c>
      <c r="K14" s="11">
        <v>8</v>
      </c>
      <c r="L14" s="11">
        <v>12</v>
      </c>
      <c r="M14" s="11">
        <v>11</v>
      </c>
      <c r="N14" s="16">
        <f t="shared" si="0"/>
        <v>93</v>
      </c>
    </row>
    <row r="15" spans="1:14" x14ac:dyDescent="0.3">
      <c r="A15" s="4" t="s">
        <v>22</v>
      </c>
      <c r="B15" s="11">
        <v>0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6">
        <f t="shared" si="0"/>
        <v>0</v>
      </c>
    </row>
    <row r="16" spans="1:14" x14ac:dyDescent="0.3">
      <c r="A16" s="4" t="s">
        <v>23</v>
      </c>
      <c r="B16" s="12">
        <v>0</v>
      </c>
      <c r="C16" s="11">
        <v>3</v>
      </c>
      <c r="D16" s="11">
        <v>3</v>
      </c>
      <c r="E16" s="11">
        <v>3</v>
      </c>
      <c r="F16" s="11">
        <v>3</v>
      </c>
      <c r="G16" s="11">
        <v>1</v>
      </c>
      <c r="H16" s="11">
        <v>3</v>
      </c>
      <c r="I16" s="11">
        <v>3</v>
      </c>
      <c r="J16" s="11">
        <v>2</v>
      </c>
      <c r="K16" s="11">
        <v>0</v>
      </c>
      <c r="L16" s="11">
        <v>2</v>
      </c>
      <c r="M16" s="11">
        <v>2</v>
      </c>
      <c r="N16" s="16">
        <f t="shared" si="0"/>
        <v>25</v>
      </c>
    </row>
    <row r="17" spans="1:14" x14ac:dyDescent="0.3">
      <c r="A17" s="4" t="s">
        <v>24</v>
      </c>
      <c r="B17" s="11">
        <v>0</v>
      </c>
      <c r="C17" s="11">
        <v>0</v>
      </c>
      <c r="D17" s="11">
        <v>1</v>
      </c>
      <c r="E17" s="11">
        <v>2</v>
      </c>
      <c r="F17" s="11">
        <v>9</v>
      </c>
      <c r="G17" s="11">
        <v>23</v>
      </c>
      <c r="H17" s="11">
        <v>11</v>
      </c>
      <c r="I17" s="11">
        <v>13</v>
      </c>
      <c r="J17" s="11">
        <v>0</v>
      </c>
      <c r="K17" s="11">
        <v>11</v>
      </c>
      <c r="L17" s="11">
        <v>11</v>
      </c>
      <c r="M17" s="11">
        <v>18</v>
      </c>
      <c r="N17" s="16">
        <f t="shared" si="0"/>
        <v>99</v>
      </c>
    </row>
    <row r="18" spans="1:14" x14ac:dyDescent="0.3">
      <c r="A18" s="4" t="s">
        <v>25</v>
      </c>
      <c r="B18" s="12">
        <v>0</v>
      </c>
      <c r="C18" s="11">
        <v>4</v>
      </c>
      <c r="D18" s="11">
        <v>5</v>
      </c>
      <c r="E18" s="11">
        <v>5</v>
      </c>
      <c r="F18" s="11">
        <v>1</v>
      </c>
      <c r="G18" s="11">
        <v>3</v>
      </c>
      <c r="H18" s="11">
        <v>3</v>
      </c>
      <c r="I18" s="11">
        <v>4</v>
      </c>
      <c r="J18" s="11">
        <v>4</v>
      </c>
      <c r="K18" s="11">
        <v>9</v>
      </c>
      <c r="L18" s="11">
        <v>9</v>
      </c>
      <c r="M18" s="11">
        <v>5</v>
      </c>
      <c r="N18" s="16">
        <f t="shared" si="0"/>
        <v>52</v>
      </c>
    </row>
    <row r="19" spans="1:14" x14ac:dyDescent="0.3">
      <c r="A19" s="4" t="s">
        <v>26</v>
      </c>
      <c r="B19" s="7">
        <v>18</v>
      </c>
      <c r="C19" s="11">
        <v>17</v>
      </c>
      <c r="D19" s="11">
        <v>18</v>
      </c>
      <c r="E19" s="11">
        <v>13</v>
      </c>
      <c r="F19" s="11">
        <v>7</v>
      </c>
      <c r="G19" s="11">
        <v>7</v>
      </c>
      <c r="H19" s="11">
        <v>17</v>
      </c>
      <c r="I19" s="11">
        <v>16</v>
      </c>
      <c r="J19" s="11">
        <v>12</v>
      </c>
      <c r="K19" s="11">
        <v>18</v>
      </c>
      <c r="L19" s="11">
        <v>18</v>
      </c>
      <c r="M19" s="11">
        <v>14</v>
      </c>
      <c r="N19" s="16">
        <f t="shared" si="0"/>
        <v>175</v>
      </c>
    </row>
    <row r="20" spans="1:14" x14ac:dyDescent="0.3">
      <c r="A20" s="4" t="s">
        <v>27</v>
      </c>
      <c r="B20" s="8">
        <v>85</v>
      </c>
      <c r="C20" s="11">
        <v>36</v>
      </c>
      <c r="D20" s="11">
        <v>32</v>
      </c>
      <c r="E20" s="11">
        <v>57</v>
      </c>
      <c r="F20" s="11">
        <v>77</v>
      </c>
      <c r="G20" s="11">
        <v>50</v>
      </c>
      <c r="H20" s="11">
        <v>5</v>
      </c>
      <c r="I20" s="11">
        <v>5</v>
      </c>
      <c r="J20" s="11">
        <v>18</v>
      </c>
      <c r="K20" s="11">
        <v>63</v>
      </c>
      <c r="L20" s="11">
        <v>82</v>
      </c>
      <c r="M20" s="11">
        <v>55</v>
      </c>
      <c r="N20" s="16">
        <f t="shared" si="0"/>
        <v>565</v>
      </c>
    </row>
    <row r="21" spans="1:14" x14ac:dyDescent="0.3">
      <c r="A21" s="4" t="s">
        <v>28</v>
      </c>
      <c r="B21" s="7">
        <v>60</v>
      </c>
      <c r="C21" s="11">
        <v>161</v>
      </c>
      <c r="D21" s="11">
        <v>68</v>
      </c>
      <c r="E21" s="11">
        <v>43</v>
      </c>
      <c r="F21" s="11">
        <v>43</v>
      </c>
      <c r="G21" s="11">
        <v>43</v>
      </c>
      <c r="H21" s="11">
        <v>0</v>
      </c>
      <c r="I21" s="11">
        <v>116</v>
      </c>
      <c r="J21" s="11">
        <v>68</v>
      </c>
      <c r="K21" s="11">
        <v>53</v>
      </c>
      <c r="L21" s="11">
        <v>33</v>
      </c>
      <c r="M21" s="11">
        <v>16</v>
      </c>
      <c r="N21" s="16">
        <f t="shared" si="0"/>
        <v>704</v>
      </c>
    </row>
    <row r="22" spans="1:14" x14ac:dyDescent="0.3">
      <c r="A22" s="4" t="s">
        <v>29</v>
      </c>
      <c r="B22" s="8">
        <v>32</v>
      </c>
      <c r="C22" s="11">
        <v>17</v>
      </c>
      <c r="D22" s="11">
        <v>19</v>
      </c>
      <c r="E22" s="11">
        <v>25</v>
      </c>
      <c r="F22" s="11">
        <v>11</v>
      </c>
      <c r="G22" s="11">
        <v>26</v>
      </c>
      <c r="H22" s="11">
        <v>10</v>
      </c>
      <c r="I22" s="11">
        <v>19</v>
      </c>
      <c r="J22" s="11">
        <v>14</v>
      </c>
      <c r="K22" s="11">
        <v>26</v>
      </c>
      <c r="L22" s="11">
        <v>19</v>
      </c>
      <c r="M22" s="11">
        <v>17</v>
      </c>
      <c r="N22" s="16">
        <f t="shared" si="0"/>
        <v>235</v>
      </c>
    </row>
    <row r="23" spans="1:14" x14ac:dyDescent="0.3">
      <c r="A23" s="10" t="s">
        <v>30</v>
      </c>
      <c r="B23" s="13">
        <f>SUM(B5:B22)</f>
        <v>250</v>
      </c>
      <c r="C23" s="13">
        <f t="shared" ref="C23:N23" si="1">SUM(C5:C22)</f>
        <v>351</v>
      </c>
      <c r="D23" s="13">
        <f t="shared" si="1"/>
        <v>317</v>
      </c>
      <c r="E23" s="13">
        <f t="shared" si="1"/>
        <v>335</v>
      </c>
      <c r="F23" s="13">
        <f t="shared" si="1"/>
        <v>341</v>
      </c>
      <c r="G23" s="13">
        <f t="shared" si="1"/>
        <v>335</v>
      </c>
      <c r="H23" s="13">
        <f t="shared" si="1"/>
        <v>218</v>
      </c>
      <c r="I23" s="13">
        <f t="shared" si="1"/>
        <v>322</v>
      </c>
      <c r="J23" s="13">
        <f t="shared" si="1"/>
        <v>281</v>
      </c>
      <c r="K23" s="13">
        <f t="shared" si="1"/>
        <v>356</v>
      </c>
      <c r="L23" s="13">
        <f t="shared" si="1"/>
        <v>365</v>
      </c>
      <c r="M23" s="13">
        <f t="shared" si="1"/>
        <v>356</v>
      </c>
      <c r="N23" s="13">
        <f t="shared" si="1"/>
        <v>3827</v>
      </c>
    </row>
  </sheetData>
  <mergeCells count="1">
    <mergeCell ref="B2:K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topLeftCell="A4" zoomScale="85" zoomScaleNormal="85" workbookViewId="0">
      <selection activeCell="M24" sqref="M24"/>
    </sheetView>
  </sheetViews>
  <sheetFormatPr defaultRowHeight="17.25" x14ac:dyDescent="0.3"/>
  <cols>
    <col min="1" max="1" width="25.85546875" style="2" customWidth="1"/>
    <col min="2" max="4" width="14" style="2" customWidth="1"/>
    <col min="5" max="5" width="13.85546875" style="2" customWidth="1"/>
    <col min="6" max="6" width="14.42578125" style="2" customWidth="1"/>
    <col min="7" max="7" width="14.28515625" style="2" customWidth="1"/>
    <col min="8" max="8" width="14" style="2" customWidth="1"/>
    <col min="9" max="9" width="14.140625" style="2" customWidth="1"/>
    <col min="10" max="10" width="13.7109375" style="2" customWidth="1"/>
    <col min="11" max="11" width="14.42578125" style="2" customWidth="1"/>
    <col min="12" max="12" width="14.28515625" style="2" customWidth="1"/>
    <col min="13" max="13" width="13.5703125" style="2" customWidth="1"/>
    <col min="14" max="14" width="25.7109375" style="2" customWidth="1"/>
    <col min="15" max="16384" width="9.140625" style="2"/>
  </cols>
  <sheetData>
    <row r="1" spans="1:1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4" ht="27" customHeight="1" x14ac:dyDescent="0.3">
      <c r="A2" s="1"/>
      <c r="B2" s="14" t="s">
        <v>33</v>
      </c>
      <c r="C2" s="14"/>
      <c r="D2" s="14"/>
      <c r="E2" s="14"/>
      <c r="F2" s="14"/>
      <c r="G2" s="14"/>
      <c r="H2" s="14"/>
      <c r="I2" s="14"/>
      <c r="J2" s="14"/>
      <c r="K2" s="14"/>
    </row>
    <row r="3" spans="1:14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4" x14ac:dyDescent="0.3">
      <c r="A4" s="3" t="s">
        <v>0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1</v>
      </c>
      <c r="I4" s="3" t="s">
        <v>2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35</v>
      </c>
    </row>
    <row r="5" spans="1:14" x14ac:dyDescent="0.3">
      <c r="A5" s="4" t="s">
        <v>13</v>
      </c>
      <c r="B5" s="11">
        <v>0</v>
      </c>
      <c r="C5" s="11">
        <v>197</v>
      </c>
      <c r="D5" s="11">
        <v>200</v>
      </c>
      <c r="E5" s="11">
        <v>261</v>
      </c>
      <c r="F5" s="11">
        <v>132</v>
      </c>
      <c r="G5" s="11">
        <v>184</v>
      </c>
      <c r="H5" s="11">
        <v>110</v>
      </c>
      <c r="I5" s="11">
        <v>84</v>
      </c>
      <c r="J5" s="11">
        <v>134</v>
      </c>
      <c r="K5" s="11">
        <v>116</v>
      </c>
      <c r="L5" s="11">
        <v>92</v>
      </c>
      <c r="M5" s="11">
        <v>144</v>
      </c>
      <c r="N5" s="16">
        <f>SUM(B5:M5)</f>
        <v>1654</v>
      </c>
    </row>
    <row r="6" spans="1:14" x14ac:dyDescent="0.3">
      <c r="A6" s="4" t="s">
        <v>14</v>
      </c>
      <c r="B6" s="11">
        <v>40</v>
      </c>
      <c r="C6" s="11">
        <v>58</v>
      </c>
      <c r="D6" s="11">
        <v>88</v>
      </c>
      <c r="E6" s="11">
        <v>150</v>
      </c>
      <c r="F6" s="11">
        <v>90</v>
      </c>
      <c r="G6" s="11">
        <v>100</v>
      </c>
      <c r="H6" s="11">
        <v>110</v>
      </c>
      <c r="I6" s="11">
        <v>58</v>
      </c>
      <c r="J6" s="11">
        <v>116</v>
      </c>
      <c r="K6" s="11">
        <v>38</v>
      </c>
      <c r="L6" s="11">
        <v>120</v>
      </c>
      <c r="M6" s="11">
        <v>101</v>
      </c>
      <c r="N6" s="16">
        <f t="shared" ref="N6:N22" si="0">SUM(B6:M6)</f>
        <v>1069</v>
      </c>
    </row>
    <row r="7" spans="1:14" x14ac:dyDescent="0.3">
      <c r="A7" s="4" t="s">
        <v>15</v>
      </c>
      <c r="B7" s="11">
        <v>197</v>
      </c>
      <c r="C7" s="11">
        <v>275</v>
      </c>
      <c r="D7" s="11">
        <v>264</v>
      </c>
      <c r="E7" s="11">
        <v>318</v>
      </c>
      <c r="F7" s="11">
        <v>260</v>
      </c>
      <c r="G7" s="11">
        <v>160</v>
      </c>
      <c r="H7" s="11">
        <v>166</v>
      </c>
      <c r="I7" s="11">
        <v>170</v>
      </c>
      <c r="J7" s="11">
        <v>148</v>
      </c>
      <c r="K7" s="11">
        <v>100</v>
      </c>
      <c r="L7" s="11">
        <v>145</v>
      </c>
      <c r="M7" s="11">
        <v>89</v>
      </c>
      <c r="N7" s="16">
        <f t="shared" si="0"/>
        <v>2292</v>
      </c>
    </row>
    <row r="8" spans="1:14" x14ac:dyDescent="0.3">
      <c r="A8" s="4" t="s">
        <v>16</v>
      </c>
      <c r="B8" s="11">
        <v>160</v>
      </c>
      <c r="C8" s="11">
        <v>38</v>
      </c>
      <c r="D8" s="11">
        <v>50</v>
      </c>
      <c r="E8" s="11">
        <v>184</v>
      </c>
      <c r="F8" s="11">
        <v>74</v>
      </c>
      <c r="G8" s="11">
        <v>8</v>
      </c>
      <c r="H8" s="11">
        <v>28</v>
      </c>
      <c r="I8" s="11">
        <v>86</v>
      </c>
      <c r="J8" s="11">
        <v>148</v>
      </c>
      <c r="K8" s="11">
        <v>82</v>
      </c>
      <c r="L8" s="11">
        <v>76</v>
      </c>
      <c r="M8" s="11">
        <v>80</v>
      </c>
      <c r="N8" s="16">
        <f t="shared" si="0"/>
        <v>1014</v>
      </c>
    </row>
    <row r="9" spans="1:14" x14ac:dyDescent="0.3">
      <c r="A9" s="4" t="s">
        <v>17</v>
      </c>
      <c r="B9" s="11">
        <v>0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6">
        <f t="shared" si="0"/>
        <v>0</v>
      </c>
    </row>
    <row r="10" spans="1:14" x14ac:dyDescent="0.3">
      <c r="A10" s="4" t="s">
        <v>18</v>
      </c>
      <c r="B10" s="11">
        <v>0</v>
      </c>
      <c r="C10" s="11">
        <v>600</v>
      </c>
      <c r="D10" s="11">
        <v>800</v>
      </c>
      <c r="E10" s="11">
        <v>750</v>
      </c>
      <c r="F10" s="11">
        <v>700</v>
      </c>
      <c r="G10" s="11">
        <v>1700</v>
      </c>
      <c r="H10" s="11">
        <v>600</v>
      </c>
      <c r="I10" s="11">
        <v>0</v>
      </c>
      <c r="J10" s="11">
        <v>200</v>
      </c>
      <c r="K10" s="11">
        <v>0</v>
      </c>
      <c r="L10" s="11">
        <v>1000</v>
      </c>
      <c r="M10" s="11">
        <v>396</v>
      </c>
      <c r="N10" s="16">
        <f t="shared" si="0"/>
        <v>6746</v>
      </c>
    </row>
    <row r="11" spans="1:14" x14ac:dyDescent="0.3">
      <c r="A11" s="4" t="s">
        <v>19</v>
      </c>
      <c r="B11" s="11">
        <v>100</v>
      </c>
      <c r="C11" s="11">
        <v>150</v>
      </c>
      <c r="D11" s="11">
        <v>150</v>
      </c>
      <c r="E11" s="11">
        <v>150</v>
      </c>
      <c r="F11" s="11">
        <v>150</v>
      </c>
      <c r="G11" s="11">
        <v>100</v>
      </c>
      <c r="H11" s="11">
        <v>0</v>
      </c>
      <c r="I11" s="11">
        <v>100</v>
      </c>
      <c r="J11" s="11">
        <v>0</v>
      </c>
      <c r="K11" s="11">
        <v>50</v>
      </c>
      <c r="L11" s="11">
        <v>50</v>
      </c>
      <c r="M11" s="11">
        <v>0</v>
      </c>
      <c r="N11" s="16">
        <f t="shared" si="0"/>
        <v>1000</v>
      </c>
    </row>
    <row r="12" spans="1:14" x14ac:dyDescent="0.3">
      <c r="A12" s="15" t="s">
        <v>34</v>
      </c>
      <c r="B12" s="11">
        <v>4</v>
      </c>
      <c r="C12" s="11">
        <v>53</v>
      </c>
      <c r="D12" s="11">
        <v>129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6">
        <f t="shared" si="0"/>
        <v>186</v>
      </c>
    </row>
    <row r="13" spans="1:14" x14ac:dyDescent="0.3">
      <c r="A13" s="4" t="s">
        <v>20</v>
      </c>
      <c r="B13" s="11">
        <v>0</v>
      </c>
      <c r="C13" s="11">
        <v>0</v>
      </c>
      <c r="D13" s="11">
        <v>0</v>
      </c>
      <c r="E13" s="11">
        <v>10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6">
        <f t="shared" si="0"/>
        <v>10</v>
      </c>
    </row>
    <row r="14" spans="1:14" x14ac:dyDescent="0.3">
      <c r="A14" s="4" t="s">
        <v>21</v>
      </c>
      <c r="B14" s="11">
        <v>0</v>
      </c>
      <c r="C14" s="11">
        <v>0</v>
      </c>
      <c r="D14" s="11">
        <v>0</v>
      </c>
      <c r="E14" s="11">
        <v>0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6">
        <f t="shared" si="0"/>
        <v>0</v>
      </c>
    </row>
    <row r="15" spans="1:14" x14ac:dyDescent="0.3">
      <c r="A15" s="4" t="s">
        <v>22</v>
      </c>
      <c r="B15" s="11">
        <v>0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6">
        <f t="shared" si="0"/>
        <v>0</v>
      </c>
    </row>
    <row r="16" spans="1:14" x14ac:dyDescent="0.3">
      <c r="A16" s="4" t="s">
        <v>23</v>
      </c>
      <c r="B16" s="11">
        <v>0</v>
      </c>
      <c r="C16" s="11">
        <v>0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6">
        <f t="shared" si="0"/>
        <v>0</v>
      </c>
    </row>
    <row r="17" spans="1:14" x14ac:dyDescent="0.3">
      <c r="A17" s="4" t="s">
        <v>24</v>
      </c>
      <c r="B17" s="11">
        <v>0</v>
      </c>
      <c r="C17" s="11">
        <v>0</v>
      </c>
      <c r="D17" s="11">
        <v>0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6">
        <f t="shared" si="0"/>
        <v>0</v>
      </c>
    </row>
    <row r="18" spans="1:14" x14ac:dyDescent="0.3">
      <c r="A18" s="4" t="s">
        <v>25</v>
      </c>
      <c r="B18" s="11">
        <v>0</v>
      </c>
      <c r="C18" s="11">
        <v>0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6">
        <f t="shared" si="0"/>
        <v>0</v>
      </c>
    </row>
    <row r="19" spans="1:14" x14ac:dyDescent="0.3">
      <c r="A19" s="4" t="s">
        <v>26</v>
      </c>
      <c r="B19" s="11">
        <v>0</v>
      </c>
      <c r="C19" s="11">
        <v>0</v>
      </c>
      <c r="D19" s="11">
        <v>0</v>
      </c>
      <c r="E19" s="11">
        <v>0</v>
      </c>
      <c r="F19" s="11">
        <v>0</v>
      </c>
      <c r="G19" s="11">
        <v>0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6">
        <f t="shared" si="0"/>
        <v>0</v>
      </c>
    </row>
    <row r="20" spans="1:14" x14ac:dyDescent="0.3">
      <c r="A20" s="4" t="s">
        <v>27</v>
      </c>
      <c r="B20" s="11">
        <v>0</v>
      </c>
      <c r="C20" s="11">
        <v>54</v>
      </c>
      <c r="D20" s="11">
        <v>42</v>
      </c>
      <c r="E20" s="11">
        <v>60</v>
      </c>
      <c r="F20" s="11">
        <v>66</v>
      </c>
      <c r="G20" s="11">
        <v>125</v>
      </c>
      <c r="H20" s="11">
        <v>10</v>
      </c>
      <c r="I20" s="11">
        <v>20</v>
      </c>
      <c r="J20" s="11">
        <v>0</v>
      </c>
      <c r="K20" s="11">
        <v>10</v>
      </c>
      <c r="L20" s="11">
        <v>21</v>
      </c>
      <c r="M20" s="11">
        <v>21</v>
      </c>
      <c r="N20" s="16">
        <f t="shared" si="0"/>
        <v>429</v>
      </c>
    </row>
    <row r="21" spans="1:14" x14ac:dyDescent="0.3">
      <c r="A21" s="4" t="s">
        <v>28</v>
      </c>
      <c r="B21" s="11">
        <v>0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  <c r="M21" s="11">
        <v>0</v>
      </c>
      <c r="N21" s="16">
        <f t="shared" si="0"/>
        <v>0</v>
      </c>
    </row>
    <row r="22" spans="1:14" x14ac:dyDescent="0.3">
      <c r="A22" s="4" t="s">
        <v>29</v>
      </c>
      <c r="B22" s="11">
        <v>234</v>
      </c>
      <c r="C22" s="11">
        <v>217</v>
      </c>
      <c r="D22" s="11">
        <v>260</v>
      </c>
      <c r="E22" s="11">
        <v>364</v>
      </c>
      <c r="F22" s="11">
        <v>291</v>
      </c>
      <c r="G22" s="11">
        <v>329</v>
      </c>
      <c r="H22" s="11">
        <v>416</v>
      </c>
      <c r="I22" s="11">
        <v>383</v>
      </c>
      <c r="J22" s="11">
        <v>348</v>
      </c>
      <c r="K22" s="11">
        <v>389</v>
      </c>
      <c r="L22" s="11">
        <v>261</v>
      </c>
      <c r="M22" s="11">
        <v>349</v>
      </c>
      <c r="N22" s="16">
        <f t="shared" si="0"/>
        <v>3841</v>
      </c>
    </row>
    <row r="23" spans="1:14" x14ac:dyDescent="0.3">
      <c r="A23" s="10" t="s">
        <v>30</v>
      </c>
      <c r="B23" s="13">
        <f>SUM(B5:B22)</f>
        <v>735</v>
      </c>
      <c r="C23" s="13">
        <f t="shared" ref="C23:N23" si="1">SUM(C5:C22)</f>
        <v>1642</v>
      </c>
      <c r="D23" s="13">
        <f t="shared" si="1"/>
        <v>1983</v>
      </c>
      <c r="E23" s="13">
        <f t="shared" si="1"/>
        <v>2247</v>
      </c>
      <c r="F23" s="13">
        <f t="shared" si="1"/>
        <v>1763</v>
      </c>
      <c r="G23" s="13">
        <f t="shared" si="1"/>
        <v>2706</v>
      </c>
      <c r="H23" s="13">
        <f t="shared" si="1"/>
        <v>1440</v>
      </c>
      <c r="I23" s="13">
        <f t="shared" si="1"/>
        <v>901</v>
      </c>
      <c r="J23" s="13">
        <f t="shared" si="1"/>
        <v>1094</v>
      </c>
      <c r="K23" s="13">
        <f t="shared" si="1"/>
        <v>785</v>
      </c>
      <c r="L23" s="13">
        <f t="shared" si="1"/>
        <v>1765</v>
      </c>
      <c r="M23" s="13">
        <f t="shared" si="1"/>
        <v>1180</v>
      </c>
      <c r="N23" s="13">
        <f t="shared" si="1"/>
        <v>18241</v>
      </c>
    </row>
  </sheetData>
  <mergeCells count="1">
    <mergeCell ref="B2:K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Diesel</vt:lpstr>
      <vt:lpstr>MS-74</vt:lpstr>
      <vt:lpstr>100 Octane</vt:lpstr>
      <vt:lpstr>'100 Octane'!Print_Area</vt:lpstr>
      <vt:lpstr>Diesel!Print_Area</vt:lpstr>
      <vt:lpstr>'MS-74'!Print_Area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2026-06-19T11:38:17Z</dcterms:modified>
</cp:coreProperties>
</file>
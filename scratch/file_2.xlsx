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Diesel" sheetId="1" r:id="rId1"/>
    <sheet name="MS-74" sheetId="2" r:id="rId2"/>
    <sheet name="100 Octane" sheetId="3" r:id="rId3"/>
  </sheets>
  <definedNames>
    <definedName name="_xlnm.Print_Area" localSheetId="2">'100 Octane'!$A$1:$M$22</definedName>
    <definedName name="_xlnm.Print_Area" localSheetId="0">Diesel!$A$1:$M$22</definedName>
    <definedName name="_xlnm.Print_Area" localSheetId="1">'MS-74'!$A$1:$M$22</definedName>
  </definedNames>
  <calcPr calcId="152511"/>
</workbook>
</file>

<file path=xl/calcChain.xml><?xml version="1.0" encoding="utf-8"?>
<calcChain xmlns="http://schemas.openxmlformats.org/spreadsheetml/2006/main">
  <c r="C23" i="3" l="1"/>
  <c r="D23" i="3"/>
  <c r="E23" i="3"/>
  <c r="F23" i="3"/>
  <c r="G23" i="3"/>
  <c r="H23" i="3"/>
  <c r="I23" i="3"/>
  <c r="B23" i="3"/>
  <c r="C23" i="1"/>
  <c r="D23" i="1"/>
  <c r="E23" i="1"/>
  <c r="F23" i="1"/>
  <c r="G23" i="1"/>
  <c r="H23" i="1"/>
  <c r="I23" i="1"/>
  <c r="B23" i="1"/>
  <c r="C23" i="2"/>
  <c r="D23" i="2"/>
  <c r="E23" i="2"/>
  <c r="F23" i="2"/>
  <c r="G23" i="2"/>
  <c r="H23" i="2"/>
  <c r="I23" i="2"/>
  <c r="B23" i="2"/>
</calcChain>
</file>

<file path=xl/sharedStrings.xml><?xml version="1.0" encoding="utf-8"?>
<sst xmlns="http://schemas.openxmlformats.org/spreadsheetml/2006/main" count="102" uniqueCount="36">
  <si>
    <t>Bde/Unit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</si>
  <si>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</si>
  <si>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</si>
  <si>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</si>
  <si>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</si>
  <si>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</si>
  <si>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</si>
  <si>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</si>
  <si>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</si>
  <si>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</si>
  <si>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</si>
  <si>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</si>
  <si>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</si>
  <si>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HQ 55 Arty Bde</t>
  </si>
  <si>
    <t>HQ 21 Inf Bde</t>
  </si>
  <si>
    <t>HQ 88 Inf Bde</t>
  </si>
  <si>
    <t>HQ 105 Inf Bde</t>
  </si>
  <si>
    <t>9 Bengal Lancers</t>
  </si>
  <si>
    <t>3 Engr Bn</t>
  </si>
  <si>
    <t>2 Sig Bn</t>
  </si>
  <si>
    <t>31 ST Bn</t>
  </si>
  <si>
    <t>41 Fd Amb</t>
  </si>
  <si>
    <t>71 Fd Amb</t>
  </si>
  <si>
    <t>505 DOC</t>
  </si>
  <si>
    <t>117 Fd Wksp Coy EME</t>
  </si>
  <si>
    <t>119 Fd Wksp Coy EME</t>
  </si>
  <si>
    <t>145 Fd Wksp Coy EME</t>
  </si>
  <si>
    <t>55 MP Unit</t>
  </si>
  <si>
    <t>55 FIU</t>
  </si>
  <si>
    <t>HQ Coy 55 Inf Div</t>
  </si>
  <si>
    <t xml:space="preserve">Total </t>
  </si>
  <si>
    <t>19 E Bengal (Div Sp Bn)</t>
  </si>
  <si>
    <t>Total Exp Bde/Unit</t>
  </si>
  <si>
    <t xml:space="preserve">MS-74 Exp in FY-2025-26 </t>
  </si>
  <si>
    <t xml:space="preserve">Diesel Exp in FY-2025-26 </t>
  </si>
  <si>
    <t xml:space="preserve">100 Octane Exp in FY-2025-26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</si>
</sst>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3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wrapText="1"/>
    </xf>
    <xf numFmtId="0" fontId="2" fillId="3" borderId="0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top" wrapText="1"/>
    </xf>
    <xf numFmtId="164" fontId="7" fillId="4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4" zoomScale="85" zoomScaleNormal="85" workbookViewId="0">
      <selection activeCell="B23" sqref="B23:I23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5.570312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9" t="s">
        <v>34</v>
      </c>
      <c r="C2" s="9"/>
      <c r="D2" s="9"/>
      <c r="E2" s="9"/>
      <c r="F2" s="9"/>
      <c r="G2" s="9"/>
      <c r="H2" s="9"/>
      <c r="I2" s="9"/>
      <c r="J2" s="9"/>
      <c r="K2" s="9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10">
        <v>23680</v>
      </c>
      <c r="C5" s="10">
        <v>10810</v>
      </c>
      <c r="D5" s="10">
        <v>16217</v>
      </c>
      <c r="E5" s="10">
        <v>13926</v>
      </c>
      <c r="F5" s="10">
        <v>10690</v>
      </c>
      <c r="G5" s="10">
        <v>13768</v>
      </c>
      <c r="H5" s="10">
        <v>20885</v>
      </c>
      <c r="I5" s="10">
        <v>24730</v>
      </c>
      <c r="J5" s="10"/>
      <c r="K5" s="10"/>
      <c r="L5" s="10"/>
      <c r="M5" s="10"/>
      <c r="N5" s="10"/>
    </row>
    <row r="6" spans="1:14" x14ac:dyDescent="0.3">
      <c r="A6" s="4" t="s">
        <v>14</v>
      </c>
      <c r="B6" s="10">
        <v>8472</v>
      </c>
      <c r="C6" s="10">
        <v>9616</v>
      </c>
      <c r="D6" s="10">
        <v>9705</v>
      </c>
      <c r="E6" s="10">
        <v>10641</v>
      </c>
      <c r="F6" s="10">
        <v>10563</v>
      </c>
      <c r="G6" s="10">
        <v>9781</v>
      </c>
      <c r="H6" s="10">
        <v>13437</v>
      </c>
      <c r="I6" s="10">
        <v>10765</v>
      </c>
      <c r="J6" s="10"/>
      <c r="K6" s="10"/>
      <c r="L6" s="10"/>
      <c r="M6" s="10"/>
      <c r="N6" s="10"/>
    </row>
    <row r="7" spans="1:14" x14ac:dyDescent="0.3">
      <c r="A7" s="4" t="s">
        <v>15</v>
      </c>
      <c r="B7" s="10">
        <v>6300</v>
      </c>
      <c r="C7" s="10">
        <v>7102</v>
      </c>
      <c r="D7" s="10">
        <v>7430</v>
      </c>
      <c r="E7" s="10">
        <v>9341</v>
      </c>
      <c r="F7" s="10">
        <v>10958</v>
      </c>
      <c r="G7" s="10">
        <v>9779</v>
      </c>
      <c r="H7" s="10">
        <v>13072</v>
      </c>
      <c r="I7" s="10">
        <v>11603</v>
      </c>
      <c r="J7" s="10"/>
      <c r="K7" s="10"/>
      <c r="L7" s="10"/>
      <c r="M7" s="10"/>
      <c r="N7" s="10"/>
    </row>
    <row r="8" spans="1:14" x14ac:dyDescent="0.3">
      <c r="A8" s="4" t="s">
        <v>16</v>
      </c>
      <c r="B8" s="10">
        <v>8953</v>
      </c>
      <c r="C8" s="10">
        <v>21960</v>
      </c>
      <c r="D8" s="10">
        <v>5446</v>
      </c>
      <c r="E8" s="10">
        <v>11372</v>
      </c>
      <c r="F8" s="10">
        <v>12372</v>
      </c>
      <c r="G8" s="10">
        <v>12280</v>
      </c>
      <c r="H8" s="10">
        <v>20479</v>
      </c>
      <c r="I8" s="10">
        <v>21506</v>
      </c>
      <c r="J8" s="10"/>
      <c r="K8" s="10"/>
      <c r="L8" s="10"/>
      <c r="M8" s="10"/>
      <c r="N8" s="10"/>
    </row>
    <row r="9" spans="1:14" x14ac:dyDescent="0.3">
      <c r="A9" s="4" t="s">
        <v>17</v>
      </c>
      <c r="B9" s="10">
        <v>3040</v>
      </c>
      <c r="C9" s="10">
        <v>3891</v>
      </c>
      <c r="D9" s="10">
        <v>3224</v>
      </c>
      <c r="E9" s="10">
        <v>3382</v>
      </c>
      <c r="F9" s="10">
        <v>3624</v>
      </c>
      <c r="G9" s="10">
        <v>3097</v>
      </c>
      <c r="H9" s="10">
        <v>5403</v>
      </c>
      <c r="I9" s="10">
        <v>3770</v>
      </c>
      <c r="J9" s="10"/>
      <c r="K9" s="10"/>
      <c r="L9" s="10"/>
      <c r="M9" s="10"/>
      <c r="N9" s="10"/>
    </row>
    <row r="10" spans="1:14" x14ac:dyDescent="0.3">
      <c r="A10" s="4" t="s">
        <v>18</v>
      </c>
      <c r="B10" s="10">
        <v>11500</v>
      </c>
      <c r="C10" s="10">
        <v>10000</v>
      </c>
      <c r="D10" s="10">
        <v>7500</v>
      </c>
      <c r="E10" s="10">
        <v>13370</v>
      </c>
      <c r="F10" s="10">
        <v>9530</v>
      </c>
      <c r="G10" s="10">
        <v>13870</v>
      </c>
      <c r="H10" s="10">
        <v>20270</v>
      </c>
      <c r="I10" s="10">
        <v>16445</v>
      </c>
      <c r="J10" s="10"/>
      <c r="K10" s="10"/>
      <c r="L10" s="10"/>
      <c r="M10" s="10"/>
      <c r="N10" s="10"/>
    </row>
    <row r="11" spans="1:14" x14ac:dyDescent="0.3">
      <c r="A11" s="4" t="s">
        <v>19</v>
      </c>
      <c r="B11" s="10">
        <v>6488</v>
      </c>
      <c r="C11" s="10">
        <v>5983</v>
      </c>
      <c r="D11" s="10">
        <v>6552</v>
      </c>
      <c r="E11" s="10">
        <v>7223</v>
      </c>
      <c r="F11" s="10">
        <v>8482</v>
      </c>
      <c r="G11" s="10">
        <v>5334</v>
      </c>
      <c r="H11" s="10">
        <v>8685</v>
      </c>
      <c r="I11" s="10">
        <v>9817</v>
      </c>
      <c r="J11" s="10"/>
      <c r="K11" s="10"/>
      <c r="L11" s="10"/>
      <c r="M11" s="10"/>
      <c r="N11" s="10"/>
    </row>
    <row r="12" spans="1:14" x14ac:dyDescent="0.3">
      <c r="A12" s="4" t="s">
        <v>31</v>
      </c>
      <c r="B12" s="10">
        <v>13768</v>
      </c>
      <c r="C12" s="10">
        <v>8090</v>
      </c>
      <c r="D12" s="10">
        <v>9682</v>
      </c>
      <c r="E12" s="10">
        <v>12803</v>
      </c>
      <c r="F12" s="10">
        <v>11434</v>
      </c>
      <c r="G12" s="10">
        <v>11606</v>
      </c>
      <c r="H12" s="10">
        <v>14853</v>
      </c>
      <c r="I12" s="10">
        <v>13552</v>
      </c>
      <c r="J12" s="10"/>
      <c r="K12" s="10"/>
      <c r="L12" s="10"/>
      <c r="M12" s="10"/>
      <c r="N12" s="10"/>
    </row>
    <row r="13" spans="1:14" x14ac:dyDescent="0.3">
      <c r="A13" s="4" t="s">
        <v>20</v>
      </c>
      <c r="B13" s="10">
        <v>4269</v>
      </c>
      <c r="C13" s="10">
        <v>5556</v>
      </c>
      <c r="D13" s="10">
        <v>6777</v>
      </c>
      <c r="E13" s="10">
        <v>6892</v>
      </c>
      <c r="F13" s="10">
        <v>6095</v>
      </c>
      <c r="G13" s="10">
        <v>4485</v>
      </c>
      <c r="H13" s="10">
        <v>6382</v>
      </c>
      <c r="I13" s="10">
        <v>7446</v>
      </c>
      <c r="J13" s="10"/>
      <c r="K13" s="10"/>
      <c r="L13" s="10"/>
      <c r="M13" s="10"/>
      <c r="N13" s="10"/>
    </row>
    <row r="14" spans="1:14" x14ac:dyDescent="0.3">
      <c r="A14" s="4" t="s">
        <v>21</v>
      </c>
      <c r="B14" s="10">
        <v>1230</v>
      </c>
      <c r="C14" s="10">
        <v>1366</v>
      </c>
      <c r="D14" s="10">
        <v>1496</v>
      </c>
      <c r="E14" s="10">
        <v>1604</v>
      </c>
      <c r="F14" s="10">
        <v>1445</v>
      </c>
      <c r="G14" s="10">
        <v>1525</v>
      </c>
      <c r="H14" s="10">
        <v>1661</v>
      </c>
      <c r="I14" s="10">
        <v>1358</v>
      </c>
      <c r="J14" s="10"/>
      <c r="K14" s="10"/>
      <c r="L14" s="10"/>
      <c r="M14" s="10"/>
      <c r="N14" s="10"/>
    </row>
    <row r="15" spans="1:14" x14ac:dyDescent="0.3">
      <c r="A15" s="4" t="s">
        <v>22</v>
      </c>
      <c r="B15" s="10">
        <v>1290</v>
      </c>
      <c r="C15" s="10">
        <v>1099</v>
      </c>
      <c r="D15" s="10">
        <v>806</v>
      </c>
      <c r="E15" s="10">
        <v>1108</v>
      </c>
      <c r="F15" s="10">
        <v>1084</v>
      </c>
      <c r="G15" s="10">
        <v>1462</v>
      </c>
      <c r="H15" s="10">
        <v>1359</v>
      </c>
      <c r="I15" s="10">
        <v>1559</v>
      </c>
      <c r="J15" s="10"/>
      <c r="K15" s="10"/>
      <c r="L15" s="10"/>
      <c r="M15" s="10"/>
      <c r="N15" s="10"/>
    </row>
    <row r="16" spans="1:14" x14ac:dyDescent="0.3">
      <c r="A16" s="4" t="s">
        <v>23</v>
      </c>
      <c r="B16" s="10">
        <v>951</v>
      </c>
      <c r="C16" s="10">
        <v>1164</v>
      </c>
      <c r="D16" s="10">
        <v>551</v>
      </c>
      <c r="E16" s="10">
        <v>481</v>
      </c>
      <c r="F16" s="10">
        <v>680</v>
      </c>
      <c r="G16" s="10">
        <v>837</v>
      </c>
      <c r="H16" s="10">
        <v>1451</v>
      </c>
      <c r="I16" s="10">
        <v>1311</v>
      </c>
      <c r="J16" s="10"/>
      <c r="K16" s="10"/>
      <c r="L16" s="10"/>
      <c r="M16" s="10"/>
      <c r="N16" s="10"/>
    </row>
    <row r="17" spans="1:14" x14ac:dyDescent="0.3">
      <c r="A17" s="4" t="s">
        <v>24</v>
      </c>
      <c r="B17" s="10">
        <v>697</v>
      </c>
      <c r="C17" s="10">
        <v>753</v>
      </c>
      <c r="D17" s="10">
        <v>848</v>
      </c>
      <c r="E17" s="10">
        <v>751</v>
      </c>
      <c r="F17" s="10">
        <v>874</v>
      </c>
      <c r="G17" s="10">
        <v>909</v>
      </c>
      <c r="H17" s="10">
        <v>1232</v>
      </c>
      <c r="I17" s="10">
        <v>947</v>
      </c>
      <c r="J17" s="10"/>
      <c r="K17" s="10"/>
      <c r="L17" s="10"/>
      <c r="M17" s="10"/>
      <c r="N17" s="10"/>
    </row>
    <row r="18" spans="1:14" x14ac:dyDescent="0.3">
      <c r="A18" s="4" t="s">
        <v>25</v>
      </c>
      <c r="B18" s="10">
        <v>1007</v>
      </c>
      <c r="C18" s="10">
        <v>627</v>
      </c>
      <c r="D18" s="10">
        <v>749</v>
      </c>
      <c r="E18" s="10">
        <v>725</v>
      </c>
      <c r="F18" s="10">
        <v>954</v>
      </c>
      <c r="G18" s="10">
        <v>668</v>
      </c>
      <c r="H18" s="10">
        <v>954</v>
      </c>
      <c r="I18" s="10">
        <v>1046</v>
      </c>
      <c r="J18" s="10"/>
      <c r="K18" s="10"/>
      <c r="L18" s="10"/>
      <c r="M18" s="10"/>
      <c r="N18" s="10"/>
    </row>
    <row r="19" spans="1:14" x14ac:dyDescent="0.3">
      <c r="A19" s="4" t="s">
        <v>26</v>
      </c>
      <c r="B19" s="10">
        <v>523</v>
      </c>
      <c r="C19" s="10">
        <v>618</v>
      </c>
      <c r="D19" s="10">
        <v>816</v>
      </c>
      <c r="E19" s="10">
        <v>577</v>
      </c>
      <c r="F19" s="10">
        <v>532</v>
      </c>
      <c r="G19" s="10">
        <v>462</v>
      </c>
      <c r="H19" s="10">
        <v>1069</v>
      </c>
      <c r="I19" s="10">
        <v>1021</v>
      </c>
      <c r="J19" s="10"/>
      <c r="K19" s="10"/>
      <c r="L19" s="10"/>
      <c r="M19" s="10"/>
      <c r="N19" s="10"/>
    </row>
    <row r="20" spans="1:14" x14ac:dyDescent="0.3">
      <c r="A20" s="4" t="s">
        <v>27</v>
      </c>
      <c r="B20" s="10">
        <v>1947</v>
      </c>
      <c r="C20" s="10">
        <v>2259</v>
      </c>
      <c r="D20" s="10">
        <v>2391</v>
      </c>
      <c r="E20" s="10">
        <v>1771</v>
      </c>
      <c r="F20" s="10">
        <v>2723</v>
      </c>
      <c r="G20" s="10">
        <v>2309</v>
      </c>
      <c r="H20" s="10">
        <v>2944</v>
      </c>
      <c r="I20" s="10">
        <v>2505</v>
      </c>
      <c r="J20" s="10"/>
      <c r="K20" s="10"/>
      <c r="L20" s="10"/>
      <c r="M20" s="10"/>
      <c r="N20" s="10"/>
    </row>
    <row r="21" spans="1:14" x14ac:dyDescent="0.3">
      <c r="A21" s="4" t="s">
        <v>28</v>
      </c>
      <c r="B21" s="10">
        <v>785</v>
      </c>
      <c r="C21" s="10">
        <v>683</v>
      </c>
      <c r="D21" s="10">
        <v>640</v>
      </c>
      <c r="E21" s="10">
        <v>480</v>
      </c>
      <c r="F21" s="10">
        <v>665</v>
      </c>
      <c r="G21" s="10">
        <v>605</v>
      </c>
      <c r="H21" s="10">
        <v>615</v>
      </c>
      <c r="I21" s="10">
        <v>680</v>
      </c>
      <c r="J21" s="10"/>
      <c r="K21" s="10"/>
      <c r="L21" s="10"/>
      <c r="M21" s="10"/>
      <c r="N21" s="10"/>
    </row>
    <row r="22" spans="1:14" x14ac:dyDescent="0.3">
      <c r="A22" s="4" t="s">
        <v>29</v>
      </c>
      <c r="B22" s="10">
        <v>1088</v>
      </c>
      <c r="C22" s="10">
        <v>1416</v>
      </c>
      <c r="D22" s="10">
        <v>1890</v>
      </c>
      <c r="E22" s="10">
        <v>1356</v>
      </c>
      <c r="F22" s="10">
        <v>1612</v>
      </c>
      <c r="G22" s="10">
        <v>1900</v>
      </c>
      <c r="H22" s="10">
        <v>1465</v>
      </c>
      <c r="I22" s="10">
        <v>2206</v>
      </c>
      <c r="J22" s="10"/>
      <c r="K22" s="10"/>
      <c r="L22" s="10"/>
      <c r="M22" s="10"/>
      <c r="N22" s="10"/>
    </row>
    <row r="23" spans="1:14" x14ac:dyDescent="0.3">
      <c r="A23" s="5" t="s">
        <v>30</v>
      </c>
      <c r="B23" s="11">
        <f>SUM(B5:B22)</f>
        <v>95988</v>
      </c>
      <c r="C23" s="11">
        <f t="shared" ref="C23:I23" si="0">SUM(C5:C22)</f>
        <v>92993</v>
      </c>
      <c r="D23" s="11">
        <f t="shared" si="0"/>
        <v>82720</v>
      </c>
      <c r="E23" s="11">
        <f t="shared" si="0"/>
        <v>97803</v>
      </c>
      <c r="F23" s="11">
        <f t="shared" si="0"/>
        <v>94317</v>
      </c>
      <c r="G23" s="11">
        <f t="shared" si="0"/>
        <v>94677</v>
      </c>
      <c r="H23" s="11">
        <f t="shared" si="0"/>
        <v>136216</v>
      </c>
      <c r="I23" s="11">
        <f t="shared" si="0"/>
        <v>132267</v>
      </c>
      <c r="J23" s="10"/>
      <c r="K23" s="10"/>
      <c r="L23" s="10"/>
      <c r="M23" s="10"/>
      <c r="N23" s="10"/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5" zoomScaleNormal="85" workbookViewId="0">
      <selection activeCell="F23" sqref="F23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3.8554687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9" t="s">
        <v>33</v>
      </c>
      <c r="C2" s="9"/>
      <c r="D2" s="9"/>
      <c r="E2" s="9"/>
      <c r="F2" s="9"/>
      <c r="G2" s="9"/>
      <c r="H2" s="9"/>
      <c r="I2" s="9"/>
      <c r="J2" s="9"/>
      <c r="K2" s="9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10">
        <v>26</v>
      </c>
      <c r="C5" s="10">
        <v>31</v>
      </c>
      <c r="D5" s="10">
        <v>30</v>
      </c>
      <c r="E5" s="10">
        <v>16</v>
      </c>
      <c r="F5" s="10">
        <v>23</v>
      </c>
      <c r="G5" s="10">
        <v>16</v>
      </c>
      <c r="H5" s="10">
        <v>15</v>
      </c>
      <c r="I5" s="10">
        <v>14</v>
      </c>
      <c r="J5" s="10"/>
      <c r="K5" s="6"/>
      <c r="L5" s="6"/>
      <c r="M5" s="10"/>
      <c r="N5" s="10"/>
    </row>
    <row r="6" spans="1:14" x14ac:dyDescent="0.3">
      <c r="A6" s="4" t="s">
        <v>14</v>
      </c>
      <c r="B6" s="10">
        <v>7</v>
      </c>
      <c r="C6" s="10">
        <v>5</v>
      </c>
      <c r="D6" s="10">
        <v>0</v>
      </c>
      <c r="E6" s="10">
        <v>0</v>
      </c>
      <c r="F6" s="10">
        <v>4</v>
      </c>
      <c r="G6" s="10">
        <v>0</v>
      </c>
      <c r="H6" s="10">
        <v>5</v>
      </c>
      <c r="I6" s="10">
        <v>1</v>
      </c>
      <c r="J6" s="10"/>
      <c r="K6" s="6"/>
      <c r="L6" s="6"/>
      <c r="M6" s="10"/>
      <c r="N6" s="10"/>
    </row>
    <row r="7" spans="1:14" x14ac:dyDescent="0.3">
      <c r="A7" s="4" t="s">
        <v>15</v>
      </c>
      <c r="B7" s="10">
        <v>44</v>
      </c>
      <c r="C7" s="10">
        <v>49</v>
      </c>
      <c r="D7" s="10">
        <v>22</v>
      </c>
      <c r="E7" s="10">
        <v>30</v>
      </c>
      <c r="F7" s="10">
        <v>17</v>
      </c>
      <c r="G7" s="10">
        <v>1</v>
      </c>
      <c r="H7" s="10">
        <v>10</v>
      </c>
      <c r="I7" s="10">
        <v>6</v>
      </c>
      <c r="J7" s="10"/>
      <c r="K7" s="6"/>
      <c r="L7" s="6"/>
      <c r="M7" s="10"/>
      <c r="N7" s="10"/>
    </row>
    <row r="8" spans="1:14" x14ac:dyDescent="0.3">
      <c r="A8" s="4" t="s">
        <v>16</v>
      </c>
      <c r="B8" s="10">
        <v>25</v>
      </c>
      <c r="C8" s="10">
        <v>6</v>
      </c>
      <c r="D8" s="10">
        <v>12</v>
      </c>
      <c r="E8" s="10">
        <v>8</v>
      </c>
      <c r="F8" s="10">
        <v>5</v>
      </c>
      <c r="G8" s="10">
        <v>15</v>
      </c>
      <c r="H8" s="10">
        <v>6</v>
      </c>
      <c r="I8" s="10">
        <v>7</v>
      </c>
      <c r="J8" s="10"/>
      <c r="K8" s="6"/>
      <c r="L8" s="6"/>
      <c r="M8" s="10"/>
      <c r="N8" s="10"/>
    </row>
    <row r="9" spans="1:14" x14ac:dyDescent="0.3">
      <c r="A9" s="4" t="s">
        <v>17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/>
      <c r="K9" s="6"/>
      <c r="L9" s="6"/>
      <c r="M9" s="10"/>
      <c r="N9" s="10"/>
    </row>
    <row r="10" spans="1:14" x14ac:dyDescent="0.3">
      <c r="A10" s="4" t="s">
        <v>18</v>
      </c>
      <c r="B10" s="10">
        <v>10</v>
      </c>
      <c r="C10" s="10">
        <v>20</v>
      </c>
      <c r="D10" s="10">
        <v>20</v>
      </c>
      <c r="E10" s="10">
        <v>20</v>
      </c>
      <c r="F10" s="10">
        <v>20</v>
      </c>
      <c r="G10" s="10">
        <v>8</v>
      </c>
      <c r="H10" s="10">
        <v>0</v>
      </c>
      <c r="I10" s="10">
        <v>10</v>
      </c>
      <c r="J10" s="10"/>
      <c r="K10" s="6"/>
      <c r="L10" s="6"/>
      <c r="M10" s="10"/>
      <c r="N10" s="10"/>
    </row>
    <row r="11" spans="1:14" x14ac:dyDescent="0.3">
      <c r="A11" s="4" t="s">
        <v>19</v>
      </c>
      <c r="B11" s="10">
        <v>4</v>
      </c>
      <c r="C11" s="10">
        <v>19</v>
      </c>
      <c r="D11" s="10">
        <v>20</v>
      </c>
      <c r="E11" s="10">
        <v>22</v>
      </c>
      <c r="F11" s="10">
        <v>25</v>
      </c>
      <c r="G11" s="10">
        <v>23</v>
      </c>
      <c r="H11" s="10">
        <v>23</v>
      </c>
      <c r="I11" s="10">
        <v>2</v>
      </c>
      <c r="J11" s="10"/>
      <c r="K11" s="6"/>
      <c r="L11" s="6"/>
      <c r="M11" s="10"/>
      <c r="N11" s="10"/>
    </row>
    <row r="12" spans="1:14" x14ac:dyDescent="0.3">
      <c r="A12" s="4" t="s">
        <v>31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/>
      <c r="K12" s="6"/>
      <c r="L12" s="6"/>
      <c r="M12" s="10"/>
      <c r="N12" s="10"/>
    </row>
    <row r="13" spans="1:14" x14ac:dyDescent="0.3">
      <c r="A13" s="4" t="s">
        <v>20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/>
      <c r="K13" s="6"/>
      <c r="L13" s="6"/>
      <c r="M13" s="10"/>
      <c r="N13" s="10"/>
    </row>
    <row r="14" spans="1:14" x14ac:dyDescent="0.3">
      <c r="A14" s="4" t="s">
        <v>21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/>
      <c r="K14" s="6"/>
      <c r="L14" s="6"/>
      <c r="M14" s="10"/>
      <c r="N14" s="10"/>
    </row>
    <row r="15" spans="1:14" x14ac:dyDescent="0.3">
      <c r="A15" s="4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/>
      <c r="K15" s="6"/>
      <c r="L15" s="6"/>
      <c r="M15" s="10"/>
      <c r="N15" s="10"/>
    </row>
    <row r="16" spans="1:14" x14ac:dyDescent="0.3">
      <c r="A16" s="4" t="s">
        <v>23</v>
      </c>
      <c r="B16" s="10">
        <v>2</v>
      </c>
      <c r="C16" s="10">
        <v>1</v>
      </c>
      <c r="D16" s="10">
        <v>2</v>
      </c>
      <c r="E16" s="10">
        <v>0</v>
      </c>
      <c r="F16" s="10">
        <v>2</v>
      </c>
      <c r="G16" s="10">
        <v>2</v>
      </c>
      <c r="H16" s="10">
        <v>2</v>
      </c>
      <c r="I16" s="10">
        <v>2</v>
      </c>
      <c r="J16" s="10"/>
      <c r="K16" s="6"/>
      <c r="L16" s="6"/>
      <c r="M16" s="10"/>
      <c r="N16" s="10"/>
    </row>
    <row r="17" spans="1:14" x14ac:dyDescent="0.3">
      <c r="A17" s="4" t="s">
        <v>24</v>
      </c>
      <c r="B17" s="10">
        <v>9</v>
      </c>
      <c r="C17" s="10">
        <v>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/>
      <c r="K17" s="6"/>
      <c r="L17" s="6"/>
      <c r="M17" s="10"/>
      <c r="N17" s="10"/>
    </row>
    <row r="18" spans="1:14" x14ac:dyDescent="0.3">
      <c r="A18" s="4" t="s">
        <v>25</v>
      </c>
      <c r="B18" s="10">
        <v>4</v>
      </c>
      <c r="C18" s="10">
        <v>5</v>
      </c>
      <c r="D18" s="10">
        <v>4</v>
      </c>
      <c r="E18" s="10">
        <v>4</v>
      </c>
      <c r="F18" s="10">
        <v>6</v>
      </c>
      <c r="G18" s="10">
        <v>8</v>
      </c>
      <c r="H18" s="10">
        <v>3</v>
      </c>
      <c r="I18" s="10">
        <v>2</v>
      </c>
      <c r="J18" s="10"/>
      <c r="K18" s="6"/>
      <c r="L18" s="6"/>
      <c r="M18" s="10"/>
      <c r="N18" s="10"/>
    </row>
    <row r="19" spans="1:14" x14ac:dyDescent="0.3">
      <c r="A19" s="4" t="s">
        <v>26</v>
      </c>
      <c r="B19" s="10">
        <v>0</v>
      </c>
      <c r="C19" s="10">
        <v>0</v>
      </c>
      <c r="D19" s="10">
        <v>20</v>
      </c>
      <c r="E19" s="10">
        <v>16</v>
      </c>
      <c r="F19" s="10">
        <v>16</v>
      </c>
      <c r="G19" s="10">
        <v>0</v>
      </c>
      <c r="H19" s="10">
        <v>0</v>
      </c>
      <c r="I19" s="10">
        <v>0</v>
      </c>
      <c r="J19" s="10"/>
      <c r="K19" s="6"/>
      <c r="L19" s="6"/>
      <c r="M19" s="10"/>
      <c r="N19" s="10"/>
    </row>
    <row r="20" spans="1:14" x14ac:dyDescent="0.3">
      <c r="A20" s="4" t="s">
        <v>27</v>
      </c>
      <c r="B20" s="10">
        <v>14</v>
      </c>
      <c r="C20" s="10">
        <v>14</v>
      </c>
      <c r="D20" s="10">
        <v>0</v>
      </c>
      <c r="E20" s="10">
        <v>120</v>
      </c>
      <c r="F20" s="10">
        <v>23</v>
      </c>
      <c r="G20" s="10">
        <v>10</v>
      </c>
      <c r="H20" s="10">
        <v>8</v>
      </c>
      <c r="I20" s="10">
        <v>7</v>
      </c>
      <c r="J20" s="10"/>
      <c r="K20" s="6"/>
      <c r="L20" s="6"/>
      <c r="M20" s="10"/>
      <c r="N20" s="10"/>
    </row>
    <row r="21" spans="1:14" x14ac:dyDescent="0.3">
      <c r="A21" s="4" t="s">
        <v>28</v>
      </c>
      <c r="B21" s="10">
        <v>50</v>
      </c>
      <c r="C21" s="10">
        <v>41</v>
      </c>
      <c r="D21" s="10">
        <v>40</v>
      </c>
      <c r="E21" s="10">
        <v>42</v>
      </c>
      <c r="F21" s="10">
        <v>23</v>
      </c>
      <c r="G21" s="10">
        <v>0</v>
      </c>
      <c r="H21" s="10">
        <v>0</v>
      </c>
      <c r="I21" s="10">
        <v>0</v>
      </c>
      <c r="J21" s="10"/>
      <c r="K21" s="6"/>
      <c r="L21" s="6"/>
      <c r="M21" s="10"/>
      <c r="N21" s="10"/>
    </row>
    <row r="22" spans="1:14" x14ac:dyDescent="0.3">
      <c r="A22" s="4" t="s">
        <v>29</v>
      </c>
      <c r="B22" s="10">
        <v>10</v>
      </c>
      <c r="C22" s="10">
        <v>17</v>
      </c>
      <c r="D22" s="10">
        <v>34</v>
      </c>
      <c r="E22" s="10">
        <v>13</v>
      </c>
      <c r="F22" s="10">
        <v>0</v>
      </c>
      <c r="G22" s="10">
        <v>0</v>
      </c>
      <c r="H22" s="10">
        <v>0</v>
      </c>
      <c r="I22" s="10">
        <v>0</v>
      </c>
      <c r="J22" s="10"/>
      <c r="K22" s="6"/>
      <c r="L22" s="6"/>
      <c r="M22" s="10"/>
      <c r="N22" s="10"/>
    </row>
    <row r="23" spans="1:14" x14ac:dyDescent="0.3">
      <c r="A23" s="5" t="s">
        <v>30</v>
      </c>
      <c r="B23" s="7">
        <f>SUM(B5:B22)</f>
        <v>205</v>
      </c>
      <c r="C23" s="7">
        <f t="shared" ref="C23:I23" si="0">SUM(C5:C22)</f>
        <v>209</v>
      </c>
      <c r="D23" s="7">
        <f t="shared" si="0"/>
        <v>204</v>
      </c>
      <c r="E23" s="7">
        <f t="shared" si="0"/>
        <v>291</v>
      </c>
      <c r="F23" s="7">
        <f t="shared" si="0"/>
        <v>164</v>
      </c>
      <c r="G23" s="7">
        <f t="shared" si="0"/>
        <v>83</v>
      </c>
      <c r="H23" s="7">
        <f t="shared" si="0"/>
        <v>72</v>
      </c>
      <c r="I23" s="7">
        <f t="shared" si="0"/>
        <v>51</v>
      </c>
      <c r="J23" s="7"/>
      <c r="K23" s="7"/>
      <c r="L23" s="7"/>
      <c r="M23" s="7"/>
      <c r="N23" s="7"/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85" zoomScaleNormal="85" workbookViewId="0">
      <selection activeCell="I18" sqref="I18"/>
    </sheetView>
  </sheetViews>
  <sheetFormatPr defaultRowHeight="17.25" x14ac:dyDescent="0.3"/>
  <cols>
    <col min="1" max="1" width="25.85546875" style="2" customWidth="1"/>
    <col min="2" max="4" width="14" style="2" customWidth="1"/>
    <col min="5" max="5" width="13.85546875" style="2" customWidth="1"/>
    <col min="6" max="6" width="14.42578125" style="2" customWidth="1"/>
    <col min="7" max="7" width="14.28515625" style="2" customWidth="1"/>
    <col min="8" max="8" width="14" style="2" customWidth="1"/>
    <col min="9" max="9" width="14.140625" style="2" customWidth="1"/>
    <col min="10" max="10" width="13.7109375" style="2" customWidth="1"/>
    <col min="11" max="11" width="14.42578125" style="2" customWidth="1"/>
    <col min="12" max="12" width="14.28515625" style="2" customWidth="1"/>
    <col min="13" max="13" width="13.5703125" style="2" customWidth="1"/>
    <col min="14" max="14" width="25.7109375" style="2" customWidth="1"/>
    <col min="15" max="16384" width="9.140625" style="2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27" customHeight="1" x14ac:dyDescent="0.3">
      <c r="A2" s="1"/>
      <c r="B2" s="9" t="s">
        <v>35</v>
      </c>
      <c r="C2" s="9"/>
      <c r="D2" s="9"/>
      <c r="E2" s="9"/>
      <c r="F2" s="9"/>
      <c r="G2" s="9"/>
      <c r="H2" s="9"/>
      <c r="I2" s="9"/>
      <c r="J2" s="9"/>
      <c r="K2" s="9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4" x14ac:dyDescent="0.3">
      <c r="A4" s="3" t="s">
        <v>0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</v>
      </c>
      <c r="I4" s="3" t="s">
        <v>2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32</v>
      </c>
    </row>
    <row r="5" spans="1:14" x14ac:dyDescent="0.3">
      <c r="A5" s="4" t="s">
        <v>13</v>
      </c>
      <c r="B5" s="10">
        <v>130</v>
      </c>
      <c r="C5" s="10">
        <v>176</v>
      </c>
      <c r="D5" s="10">
        <v>177</v>
      </c>
      <c r="E5" s="10">
        <v>91</v>
      </c>
      <c r="F5" s="10">
        <v>133</v>
      </c>
      <c r="G5" s="10">
        <v>126</v>
      </c>
      <c r="H5" s="10">
        <v>146</v>
      </c>
      <c r="I5" s="10">
        <v>92</v>
      </c>
      <c r="J5" s="10"/>
      <c r="K5" s="10"/>
      <c r="L5" s="10"/>
      <c r="M5" s="10"/>
      <c r="N5" s="10"/>
    </row>
    <row r="6" spans="1:14" x14ac:dyDescent="0.3">
      <c r="A6" s="4" t="s">
        <v>14</v>
      </c>
      <c r="B6" s="10">
        <v>39</v>
      </c>
      <c r="C6" s="10">
        <v>76</v>
      </c>
      <c r="D6" s="10">
        <v>32</v>
      </c>
      <c r="E6" s="10">
        <v>154</v>
      </c>
      <c r="F6" s="10">
        <v>105</v>
      </c>
      <c r="G6" s="10">
        <v>75</v>
      </c>
      <c r="H6" s="10">
        <v>80</v>
      </c>
      <c r="I6" s="10">
        <v>156</v>
      </c>
      <c r="J6" s="10"/>
      <c r="K6" s="10"/>
      <c r="L6" s="10"/>
      <c r="M6" s="10"/>
      <c r="N6" s="10"/>
    </row>
    <row r="7" spans="1:14" x14ac:dyDescent="0.3">
      <c r="A7" s="4" t="s">
        <v>15</v>
      </c>
      <c r="B7" s="10">
        <v>140</v>
      </c>
      <c r="C7" s="10">
        <v>106</v>
      </c>
      <c r="D7" s="10">
        <v>0</v>
      </c>
      <c r="E7" s="10">
        <v>232</v>
      </c>
      <c r="F7" s="10">
        <v>112</v>
      </c>
      <c r="G7" s="10">
        <v>136</v>
      </c>
      <c r="H7" s="10">
        <v>264</v>
      </c>
      <c r="I7" s="10">
        <v>324</v>
      </c>
      <c r="J7" s="10"/>
      <c r="K7" s="10"/>
      <c r="L7" s="10"/>
      <c r="M7" s="10"/>
      <c r="N7" s="10"/>
    </row>
    <row r="8" spans="1:14" x14ac:dyDescent="0.3">
      <c r="A8" s="4" t="s">
        <v>16</v>
      </c>
      <c r="B8" s="10">
        <v>30</v>
      </c>
      <c r="C8" s="10">
        <v>60</v>
      </c>
      <c r="D8" s="10">
        <v>48</v>
      </c>
      <c r="E8" s="10">
        <v>108</v>
      </c>
      <c r="F8" s="10">
        <v>44</v>
      </c>
      <c r="G8" s="10">
        <v>42</v>
      </c>
      <c r="H8" s="10">
        <v>174</v>
      </c>
      <c r="I8" s="10">
        <v>174</v>
      </c>
      <c r="J8" s="10"/>
      <c r="K8" s="10"/>
      <c r="L8" s="10"/>
      <c r="M8" s="10"/>
      <c r="N8" s="10"/>
    </row>
    <row r="9" spans="1:14" x14ac:dyDescent="0.3">
      <c r="A9" s="4" t="s">
        <v>17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/>
      <c r="K9" s="10"/>
      <c r="L9" s="10"/>
      <c r="M9" s="10"/>
      <c r="N9" s="10"/>
    </row>
    <row r="10" spans="1:14" x14ac:dyDescent="0.3">
      <c r="A10" s="4" t="s">
        <v>18</v>
      </c>
      <c r="B10" s="10">
        <v>600</v>
      </c>
      <c r="C10" s="10">
        <v>550</v>
      </c>
      <c r="D10" s="10">
        <v>380</v>
      </c>
      <c r="E10" s="10">
        <v>600</v>
      </c>
      <c r="F10" s="10">
        <v>240</v>
      </c>
      <c r="G10" s="10">
        <v>240</v>
      </c>
      <c r="H10" s="10">
        <v>240</v>
      </c>
      <c r="I10" s="10">
        <v>240</v>
      </c>
      <c r="J10" s="10"/>
      <c r="K10" s="10"/>
      <c r="L10" s="10"/>
      <c r="M10" s="10"/>
      <c r="N10" s="10"/>
    </row>
    <row r="11" spans="1:14" x14ac:dyDescent="0.3">
      <c r="A11" s="4" t="s">
        <v>19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/>
      <c r="K11" s="10"/>
      <c r="L11" s="10"/>
      <c r="M11" s="10"/>
      <c r="N11" s="10"/>
    </row>
    <row r="12" spans="1:14" x14ac:dyDescent="0.3">
      <c r="A12" s="8" t="s">
        <v>31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/>
      <c r="K12" s="10"/>
      <c r="L12" s="10"/>
      <c r="M12" s="10"/>
      <c r="N12" s="10"/>
    </row>
    <row r="13" spans="1:14" x14ac:dyDescent="0.3">
      <c r="A13" s="4" t="s">
        <v>20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/>
      <c r="K13" s="10"/>
      <c r="L13" s="10"/>
      <c r="M13" s="10"/>
      <c r="N13" s="10"/>
    </row>
    <row r="14" spans="1:14" x14ac:dyDescent="0.3">
      <c r="A14" s="4" t="s">
        <v>21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/>
      <c r="K14" s="10"/>
      <c r="L14" s="10"/>
      <c r="M14" s="10"/>
      <c r="N14" s="10"/>
    </row>
    <row r="15" spans="1:14" x14ac:dyDescent="0.3">
      <c r="A15" s="4" t="s">
        <v>22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/>
      <c r="K15" s="10"/>
      <c r="L15" s="10"/>
      <c r="M15" s="10"/>
      <c r="N15" s="10"/>
    </row>
    <row r="16" spans="1:14" x14ac:dyDescent="0.3">
      <c r="A16" s="4" t="s">
        <v>23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/>
      <c r="K16" s="10"/>
      <c r="L16" s="10"/>
      <c r="M16" s="10"/>
      <c r="N16" s="10"/>
    </row>
    <row r="17" spans="1:14" x14ac:dyDescent="0.3">
      <c r="A17" s="4" t="s">
        <v>24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/>
      <c r="K17" s="10"/>
      <c r="L17" s="10"/>
      <c r="M17" s="10"/>
      <c r="N17" s="10"/>
    </row>
    <row r="18" spans="1:14" x14ac:dyDescent="0.3">
      <c r="A18" s="4" t="s">
        <v>25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/>
      <c r="K18" s="10"/>
      <c r="L18" s="10"/>
      <c r="M18" s="10"/>
      <c r="N18" s="10"/>
    </row>
    <row r="19" spans="1:14" x14ac:dyDescent="0.3">
      <c r="A19" s="4" t="s">
        <v>26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/>
      <c r="K19" s="10"/>
      <c r="L19" s="10"/>
      <c r="M19" s="10"/>
      <c r="N19" s="10"/>
    </row>
    <row r="20" spans="1:14" x14ac:dyDescent="0.3">
      <c r="A20" s="4" t="s">
        <v>27</v>
      </c>
      <c r="B20" s="10">
        <v>64</v>
      </c>
      <c r="C20" s="10">
        <v>81</v>
      </c>
      <c r="D20" s="10">
        <v>0</v>
      </c>
      <c r="E20" s="10">
        <v>200</v>
      </c>
      <c r="F20" s="10">
        <v>114</v>
      </c>
      <c r="G20" s="10">
        <v>13</v>
      </c>
      <c r="H20" s="10">
        <v>28</v>
      </c>
      <c r="I20" s="10">
        <v>41</v>
      </c>
      <c r="J20" s="10"/>
      <c r="K20" s="10"/>
      <c r="L20" s="10"/>
      <c r="M20" s="10"/>
      <c r="N20" s="10"/>
    </row>
    <row r="21" spans="1:14" x14ac:dyDescent="0.3">
      <c r="A21" s="4" t="s">
        <v>28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/>
      <c r="K21" s="10"/>
      <c r="L21" s="10"/>
      <c r="M21" s="10"/>
      <c r="N21" s="10"/>
    </row>
    <row r="22" spans="1:14" x14ac:dyDescent="0.3">
      <c r="A22" s="4" t="s">
        <v>29</v>
      </c>
      <c r="B22" s="10">
        <v>263</v>
      </c>
      <c r="C22" s="10">
        <v>284</v>
      </c>
      <c r="D22" s="10">
        <v>437</v>
      </c>
      <c r="E22" s="10">
        <v>241</v>
      </c>
      <c r="F22" s="10">
        <v>326</v>
      </c>
      <c r="G22" s="10">
        <v>409</v>
      </c>
      <c r="H22" s="10">
        <v>301</v>
      </c>
      <c r="I22" s="10">
        <v>325</v>
      </c>
      <c r="J22" s="10"/>
      <c r="K22" s="10"/>
      <c r="L22" s="10"/>
      <c r="M22" s="10"/>
      <c r="N22" s="10"/>
    </row>
    <row r="23" spans="1:14" x14ac:dyDescent="0.3">
      <c r="A23" s="5" t="s">
        <v>30</v>
      </c>
      <c r="B23" s="7">
        <f>SUM(B5:B22)</f>
        <v>1266</v>
      </c>
      <c r="C23" s="7">
        <f t="shared" ref="C23:I23" si="0">SUM(C5:C22)</f>
        <v>1333</v>
      </c>
      <c r="D23" s="7">
        <f t="shared" si="0"/>
        <v>1074</v>
      </c>
      <c r="E23" s="7">
        <f t="shared" si="0"/>
        <v>1626</v>
      </c>
      <c r="F23" s="7">
        <f t="shared" si="0"/>
        <v>1074</v>
      </c>
      <c r="G23" s="7">
        <f t="shared" si="0"/>
        <v>1041</v>
      </c>
      <c r="H23" s="7">
        <f t="shared" si="0"/>
        <v>1233</v>
      </c>
      <c r="I23" s="7">
        <f t="shared" si="0"/>
        <v>1352</v>
      </c>
      <c r="J23" s="7"/>
      <c r="K23" s="7"/>
      <c r="L23" s="7"/>
      <c r="M23" s="7"/>
      <c r="N23" s="7"/>
    </row>
  </sheetData>
  <mergeCells count="1"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Diesel</vt:lpstr>
      <vt:lpstr>MS-74</vt:lpstr>
      <vt:lpstr>100 Octane</vt:lpstr>
      <vt:lpstr>'100 Octane'!Print_Area</vt:lpstr>
      <vt:lpstr>Diesel!Print_Area</vt:lpstr>
      <vt:lpstr>'MS-74'!Print_Area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2026-06-19T16:05:29Z</dcterms:modified>
</cp:coreProperties>
</file>